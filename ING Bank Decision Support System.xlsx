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ml.chartshap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pivotCache/pivotCacheRecords3.xml" ContentType="application/vnd.openxmlformats-officedocument.spreadsheetml.pivotCacheRecords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hidePivotFieldList="1" defaultThemeVersion="124226"/>
  <bookViews>
    <workbookView xWindow="240" yWindow="12" windowWidth="16092" windowHeight="9660" activeTab="8"/>
  </bookViews>
  <sheets>
    <sheet name="Clienti" sheetId="1" r:id="rId1"/>
    <sheet name="Conturi" sheetId="2" r:id="rId2"/>
    <sheet name="Tranzactii" sheetId="3" r:id="rId3"/>
    <sheet name="Carduri" sheetId="4" r:id="rId4"/>
    <sheet name="Credite" sheetId="5" r:id="rId5"/>
    <sheet name="Analiză descriptivă" sheetId="6" r:id="rId6"/>
    <sheet name="PivotTable" sheetId="9" r:id="rId7"/>
    <sheet name="DashBoard" sheetId="10" r:id="rId8"/>
    <sheet name="TOPSIS" sheetId="11" r:id="rId9"/>
  </sheets>
  <calcPr calcId="125725"/>
  <pivotCaches>
    <pivotCache cacheId="8" r:id="rId10"/>
    <pivotCache cacheId="16" r:id="rId11"/>
    <pivotCache cacheId="19" r:id="rId12"/>
  </pivotCaches>
</workbook>
</file>

<file path=xl/calcChain.xml><?xml version="1.0" encoding="utf-8"?>
<calcChain xmlns="http://schemas.openxmlformats.org/spreadsheetml/2006/main">
  <c r="W3" i="6"/>
  <c r="W4"/>
  <c r="W5"/>
  <c r="W6"/>
  <c r="W7"/>
  <c r="W8"/>
  <c r="W9"/>
  <c r="W10"/>
  <c r="W11"/>
  <c r="W12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34"/>
  <c r="W35"/>
  <c r="W36"/>
  <c r="W37"/>
  <c r="W38"/>
  <c r="W39"/>
  <c r="W40"/>
  <c r="W41"/>
  <c r="W42"/>
  <c r="W43"/>
  <c r="W44"/>
  <c r="W45"/>
  <c r="W46"/>
  <c r="W47"/>
  <c r="W48"/>
  <c r="W49"/>
  <c r="W50"/>
  <c r="W51"/>
  <c r="W52"/>
  <c r="W53"/>
  <c r="W54"/>
  <c r="W55"/>
  <c r="W56"/>
  <c r="W57"/>
  <c r="W58"/>
  <c r="W59"/>
  <c r="W60"/>
  <c r="W61"/>
  <c r="W62"/>
  <c r="W63"/>
  <c r="W64"/>
  <c r="W65"/>
  <c r="W66"/>
  <c r="W67"/>
  <c r="W68"/>
  <c r="W69"/>
  <c r="W70"/>
  <c r="W71"/>
  <c r="W72"/>
  <c r="W73"/>
  <c r="W74"/>
  <c r="W75"/>
  <c r="W76"/>
  <c r="W77"/>
  <c r="W78"/>
  <c r="W79"/>
  <c r="W80"/>
  <c r="W81"/>
  <c r="W82"/>
  <c r="W83"/>
  <c r="W84"/>
  <c r="W85"/>
  <c r="W86"/>
  <c r="W87"/>
  <c r="W88"/>
  <c r="W89"/>
  <c r="W90"/>
  <c r="W91"/>
  <c r="W92"/>
  <c r="W93"/>
  <c r="W94"/>
  <c r="W95"/>
  <c r="W96"/>
  <c r="W97"/>
  <c r="W98"/>
  <c r="W99"/>
  <c r="W100"/>
  <c r="W101"/>
  <c r="W102"/>
  <c r="W103"/>
  <c r="W104"/>
  <c r="W105"/>
  <c r="W106"/>
  <c r="W107"/>
  <c r="W108"/>
  <c r="W109"/>
  <c r="W110"/>
  <c r="W111"/>
  <c r="W112"/>
  <c r="W113"/>
  <c r="W114"/>
  <c r="W115"/>
  <c r="W116"/>
  <c r="W117"/>
  <c r="W118"/>
  <c r="W119"/>
  <c r="W120"/>
  <c r="W121"/>
  <c r="W122"/>
  <c r="W123"/>
  <c r="W124"/>
  <c r="W125"/>
  <c r="W126"/>
  <c r="W127"/>
  <c r="W128"/>
  <c r="W129"/>
  <c r="W130"/>
  <c r="W131"/>
  <c r="W132"/>
  <c r="W133"/>
  <c r="W134"/>
  <c r="W135"/>
  <c r="W136"/>
  <c r="W137"/>
  <c r="W138"/>
  <c r="W139"/>
  <c r="W2"/>
  <c r="V2"/>
  <c r="Z23"/>
  <c r="Z22"/>
  <c r="Z21"/>
  <c r="Z20"/>
  <c r="Z19"/>
  <c r="Z18"/>
  <c r="Z17"/>
  <c r="Z16"/>
  <c r="Z15"/>
  <c r="Z14"/>
  <c r="Z1"/>
  <c r="V3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V40"/>
  <c r="V41"/>
  <c r="V42"/>
  <c r="V43"/>
  <c r="V44"/>
  <c r="V45"/>
  <c r="V46"/>
  <c r="V47"/>
  <c r="V48"/>
  <c r="V49"/>
  <c r="V50"/>
  <c r="V51"/>
  <c r="V52"/>
  <c r="V53"/>
  <c r="V54"/>
  <c r="V55"/>
  <c r="V56"/>
  <c r="V57"/>
  <c r="V58"/>
  <c r="V59"/>
  <c r="V60"/>
  <c r="V61"/>
  <c r="V62"/>
  <c r="V63"/>
  <c r="V64"/>
  <c r="V65"/>
  <c r="V66"/>
  <c r="V67"/>
  <c r="V68"/>
  <c r="V69"/>
  <c r="V70"/>
  <c r="V71"/>
  <c r="V72"/>
  <c r="V73"/>
  <c r="V74"/>
  <c r="V75"/>
  <c r="V76"/>
  <c r="V77"/>
  <c r="V78"/>
  <c r="V79"/>
  <c r="V80"/>
  <c r="V81"/>
  <c r="V82"/>
  <c r="V83"/>
  <c r="V84"/>
  <c r="V85"/>
  <c r="V86"/>
  <c r="V87"/>
  <c r="V88"/>
  <c r="V89"/>
  <c r="V90"/>
  <c r="V91"/>
  <c r="V92"/>
  <c r="V93"/>
  <c r="V94"/>
  <c r="V95"/>
  <c r="V96"/>
  <c r="V97"/>
  <c r="V98"/>
  <c r="V99"/>
  <c r="V100"/>
  <c r="V101"/>
  <c r="V102"/>
  <c r="V103"/>
  <c r="V104"/>
  <c r="V105"/>
  <c r="V106"/>
  <c r="V107"/>
  <c r="V108"/>
  <c r="V109"/>
  <c r="V110"/>
  <c r="V111"/>
  <c r="V112"/>
  <c r="V113"/>
  <c r="V114"/>
  <c r="V115"/>
  <c r="V116"/>
  <c r="V117"/>
  <c r="V118"/>
  <c r="V119"/>
  <c r="V120"/>
  <c r="V121"/>
  <c r="V122"/>
  <c r="V123"/>
  <c r="V124"/>
  <c r="V125"/>
  <c r="V126"/>
  <c r="V127"/>
  <c r="V128"/>
  <c r="V129"/>
  <c r="V130"/>
  <c r="V131"/>
  <c r="V132"/>
  <c r="V133"/>
  <c r="V134"/>
  <c r="V135"/>
  <c r="V136"/>
  <c r="V137"/>
  <c r="V138"/>
  <c r="V139"/>
  <c r="M2"/>
  <c r="Z10"/>
  <c r="Z9"/>
  <c r="Z8"/>
  <c r="Z7"/>
  <c r="Z6"/>
  <c r="Z5"/>
  <c r="Z4"/>
  <c r="Z3"/>
  <c r="Z2"/>
  <c r="M3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5"/>
  <c r="M516"/>
  <c r="M517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5"/>
  <c r="M536"/>
  <c r="M537"/>
  <c r="M538"/>
  <c r="M539"/>
  <c r="M540"/>
  <c r="M541"/>
  <c r="M542"/>
  <c r="M543"/>
  <c r="M544"/>
  <c r="M545"/>
  <c r="M546"/>
  <c r="M547"/>
  <c r="M548"/>
  <c r="M549"/>
  <c r="M550"/>
  <c r="M551"/>
  <c r="M552"/>
  <c r="M553"/>
  <c r="M554"/>
  <c r="M555"/>
  <c r="M556"/>
  <c r="M557"/>
  <c r="M558"/>
  <c r="M559"/>
  <c r="M560"/>
  <c r="M561"/>
  <c r="M562"/>
  <c r="M563"/>
  <c r="M564"/>
  <c r="M565"/>
  <c r="M566"/>
  <c r="M567"/>
  <c r="M568"/>
  <c r="M569"/>
  <c r="M570"/>
  <c r="M571"/>
  <c r="M572"/>
  <c r="M573"/>
  <c r="M574"/>
  <c r="M575"/>
  <c r="M576"/>
  <c r="M577"/>
  <c r="M578"/>
  <c r="M579"/>
  <c r="M580"/>
  <c r="M581"/>
  <c r="M582"/>
  <c r="M583"/>
  <c r="M584"/>
  <c r="M585"/>
  <c r="M586"/>
  <c r="M587"/>
  <c r="M588"/>
  <c r="M589"/>
  <c r="M590"/>
  <c r="M591"/>
  <c r="M592"/>
  <c r="M593"/>
  <c r="D2"/>
  <c r="O10"/>
  <c r="O9"/>
  <c r="O8"/>
  <c r="O7"/>
  <c r="O6"/>
  <c r="O5"/>
  <c r="O4"/>
  <c r="O3"/>
  <c r="O2"/>
  <c r="O1"/>
  <c r="F13"/>
  <c r="O14"/>
  <c r="O13"/>
  <c r="O12"/>
  <c r="O11"/>
  <c r="F11"/>
  <c r="F12"/>
  <c r="F7"/>
  <c r="F8" s="1"/>
  <c r="F6"/>
  <c r="F9" s="1"/>
  <c r="F5"/>
  <c r="F4"/>
  <c r="F3"/>
  <c r="F2"/>
  <c r="F1"/>
  <c r="M3" i="5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2"/>
  <c r="L3" i="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L148"/>
  <c r="L149"/>
  <c r="L150"/>
  <c r="L151"/>
  <c r="L152"/>
  <c r="L153"/>
  <c r="L154"/>
  <c r="L155"/>
  <c r="L156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77"/>
  <c r="L178"/>
  <c r="L179"/>
  <c r="L180"/>
  <c r="L181"/>
  <c r="L182"/>
  <c r="L183"/>
  <c r="L184"/>
  <c r="L185"/>
  <c r="L186"/>
  <c r="L187"/>
  <c r="L188"/>
  <c r="L189"/>
  <c r="L190"/>
  <c r="L191"/>
  <c r="L192"/>
  <c r="L193"/>
  <c r="L194"/>
  <c r="L195"/>
  <c r="L196"/>
  <c r="L197"/>
  <c r="L198"/>
  <c r="L199"/>
  <c r="L200"/>
  <c r="L201"/>
  <c r="L202"/>
  <c r="L203"/>
  <c r="L204"/>
  <c r="L205"/>
  <c r="L206"/>
  <c r="L207"/>
  <c r="L208"/>
  <c r="L209"/>
  <c r="L210"/>
  <c r="L211"/>
  <c r="L212"/>
  <c r="L213"/>
  <c r="L214"/>
  <c r="L215"/>
  <c r="L216"/>
  <c r="L217"/>
  <c r="L218"/>
  <c r="L219"/>
  <c r="L220"/>
  <c r="L221"/>
  <c r="L222"/>
  <c r="L223"/>
  <c r="L224"/>
  <c r="L225"/>
  <c r="L226"/>
  <c r="L227"/>
  <c r="L228"/>
  <c r="L229"/>
  <c r="L230"/>
  <c r="L231"/>
  <c r="L232"/>
  <c r="L233"/>
  <c r="L234"/>
  <c r="L235"/>
  <c r="L236"/>
  <c r="L237"/>
  <c r="L238"/>
  <c r="L239"/>
  <c r="L240"/>
  <c r="L241"/>
  <c r="L242"/>
  <c r="L243"/>
  <c r="L244"/>
  <c r="L245"/>
  <c r="L246"/>
  <c r="L247"/>
  <c r="L248"/>
  <c r="L249"/>
  <c r="L250"/>
  <c r="L251"/>
  <c r="L252"/>
  <c r="L253"/>
  <c r="L254"/>
  <c r="L255"/>
  <c r="L256"/>
  <c r="L257"/>
  <c r="L258"/>
  <c r="L259"/>
  <c r="L260"/>
  <c r="L261"/>
  <c r="L262"/>
  <c r="L263"/>
  <c r="L264"/>
  <c r="L265"/>
  <c r="L266"/>
  <c r="L267"/>
  <c r="L268"/>
  <c r="L269"/>
  <c r="L270"/>
  <c r="L271"/>
  <c r="L272"/>
  <c r="L273"/>
  <c r="L274"/>
  <c r="L275"/>
  <c r="L276"/>
  <c r="L277"/>
  <c r="L278"/>
  <c r="L279"/>
  <c r="L280"/>
  <c r="L281"/>
  <c r="L282"/>
  <c r="L283"/>
  <c r="L284"/>
  <c r="L285"/>
  <c r="L286"/>
  <c r="L287"/>
  <c r="L288"/>
  <c r="L289"/>
  <c r="L290"/>
  <c r="L291"/>
  <c r="L292"/>
  <c r="L293"/>
  <c r="L294"/>
  <c r="L295"/>
  <c r="L296"/>
  <c r="L297"/>
  <c r="L298"/>
  <c r="L299"/>
  <c r="L300"/>
  <c r="L301"/>
  <c r="L302"/>
  <c r="L303"/>
  <c r="L304"/>
  <c r="L305"/>
  <c r="L306"/>
  <c r="L307"/>
  <c r="L308"/>
  <c r="L309"/>
  <c r="L310"/>
  <c r="L311"/>
  <c r="L312"/>
  <c r="L313"/>
  <c r="L314"/>
  <c r="L315"/>
  <c r="L316"/>
  <c r="L317"/>
  <c r="L318"/>
  <c r="L319"/>
  <c r="L320"/>
  <c r="L321"/>
  <c r="L322"/>
  <c r="L323"/>
  <c r="L324"/>
  <c r="L325"/>
  <c r="L326"/>
  <c r="L327"/>
  <c r="L328"/>
  <c r="L329"/>
  <c r="L330"/>
  <c r="L331"/>
  <c r="L332"/>
  <c r="L333"/>
  <c r="L334"/>
  <c r="L335"/>
  <c r="L336"/>
  <c r="L337"/>
  <c r="L338"/>
  <c r="L339"/>
  <c r="L340"/>
  <c r="L341"/>
  <c r="L342"/>
  <c r="L343"/>
  <c r="L344"/>
  <c r="L345"/>
  <c r="L346"/>
  <c r="L347"/>
  <c r="L348"/>
  <c r="L349"/>
  <c r="L350"/>
  <c r="L351"/>
  <c r="L352"/>
  <c r="L353"/>
  <c r="L354"/>
  <c r="L355"/>
  <c r="L356"/>
  <c r="L357"/>
  <c r="L358"/>
  <c r="L359"/>
  <c r="L360"/>
  <c r="L361"/>
  <c r="L362"/>
  <c r="L363"/>
  <c r="L364"/>
  <c r="L365"/>
  <c r="L366"/>
  <c r="L367"/>
  <c r="L368"/>
  <c r="L369"/>
  <c r="L370"/>
  <c r="L371"/>
  <c r="L372"/>
  <c r="L373"/>
  <c r="L374"/>
  <c r="L375"/>
  <c r="L376"/>
  <c r="L377"/>
  <c r="L378"/>
  <c r="L379"/>
  <c r="L380"/>
  <c r="L381"/>
  <c r="L382"/>
  <c r="L383"/>
  <c r="L384"/>
  <c r="L385"/>
  <c r="L386"/>
  <c r="L387"/>
  <c r="L388"/>
  <c r="L389"/>
  <c r="L390"/>
  <c r="L391"/>
  <c r="L392"/>
  <c r="L393"/>
  <c r="L394"/>
  <c r="L395"/>
  <c r="L396"/>
  <c r="L397"/>
  <c r="L398"/>
  <c r="L399"/>
  <c r="L400"/>
  <c r="L401"/>
  <c r="L402"/>
  <c r="L403"/>
  <c r="L404"/>
  <c r="L405"/>
  <c r="L406"/>
  <c r="L407"/>
  <c r="L408"/>
  <c r="L409"/>
  <c r="L410"/>
  <c r="L411"/>
  <c r="L412"/>
  <c r="L413"/>
  <c r="L414"/>
  <c r="L415"/>
  <c r="L416"/>
  <c r="L417"/>
  <c r="L418"/>
  <c r="L419"/>
  <c r="L420"/>
  <c r="L421"/>
  <c r="L422"/>
  <c r="L423"/>
  <c r="L424"/>
  <c r="L425"/>
  <c r="L426"/>
  <c r="L427"/>
  <c r="L428"/>
  <c r="L429"/>
  <c r="L430"/>
  <c r="L431"/>
  <c r="L432"/>
  <c r="L433"/>
  <c r="L434"/>
  <c r="L435"/>
  <c r="L436"/>
  <c r="L437"/>
  <c r="L438"/>
  <c r="L439"/>
  <c r="L440"/>
  <c r="L441"/>
  <c r="L442"/>
  <c r="L443"/>
  <c r="L444"/>
  <c r="L445"/>
  <c r="L446"/>
  <c r="L447"/>
  <c r="L448"/>
  <c r="L449"/>
  <c r="L450"/>
  <c r="L451"/>
  <c r="L452"/>
  <c r="L453"/>
  <c r="L454"/>
  <c r="L455"/>
  <c r="L456"/>
  <c r="L457"/>
  <c r="L458"/>
  <c r="L459"/>
  <c r="L460"/>
  <c r="L461"/>
  <c r="L462"/>
  <c r="L463"/>
  <c r="L464"/>
  <c r="L465"/>
  <c r="L466"/>
  <c r="L467"/>
  <c r="L468"/>
  <c r="L469"/>
  <c r="L470"/>
  <c r="L471"/>
  <c r="L472"/>
  <c r="L473"/>
  <c r="L474"/>
  <c r="L475"/>
  <c r="L476"/>
  <c r="L477"/>
  <c r="L478"/>
  <c r="L479"/>
  <c r="L480"/>
  <c r="L481"/>
  <c r="L482"/>
  <c r="L483"/>
  <c r="L484"/>
  <c r="L485"/>
  <c r="L486"/>
  <c r="L487"/>
  <c r="L488"/>
  <c r="L489"/>
  <c r="L490"/>
  <c r="L491"/>
  <c r="L492"/>
  <c r="L493"/>
  <c r="L494"/>
  <c r="L495"/>
  <c r="L496"/>
  <c r="L497"/>
  <c r="L498"/>
  <c r="L499"/>
  <c r="L500"/>
  <c r="L501"/>
  <c r="L502"/>
  <c r="L503"/>
  <c r="L504"/>
  <c r="L505"/>
  <c r="L506"/>
  <c r="L507"/>
  <c r="L508"/>
  <c r="L509"/>
  <c r="L510"/>
  <c r="L511"/>
  <c r="L512"/>
  <c r="L513"/>
  <c r="L514"/>
  <c r="L515"/>
  <c r="L516"/>
  <c r="L517"/>
  <c r="L518"/>
  <c r="L519"/>
  <c r="L520"/>
  <c r="L521"/>
  <c r="L522"/>
  <c r="L523"/>
  <c r="L524"/>
  <c r="L525"/>
  <c r="L526"/>
  <c r="L527"/>
  <c r="L528"/>
  <c r="L529"/>
  <c r="L530"/>
  <c r="L531"/>
  <c r="L532"/>
  <c r="L533"/>
  <c r="L534"/>
  <c r="L535"/>
  <c r="L536"/>
  <c r="L537"/>
  <c r="L538"/>
  <c r="L539"/>
  <c r="L540"/>
  <c r="L541"/>
  <c r="L542"/>
  <c r="L543"/>
  <c r="L544"/>
  <c r="L545"/>
  <c r="L546"/>
  <c r="L547"/>
  <c r="L548"/>
  <c r="L549"/>
  <c r="L550"/>
  <c r="L551"/>
  <c r="L552"/>
  <c r="L553"/>
  <c r="L554"/>
  <c r="L555"/>
  <c r="L556"/>
  <c r="L557"/>
  <c r="L558"/>
  <c r="L559"/>
  <c r="L560"/>
  <c r="L561"/>
  <c r="L562"/>
  <c r="L563"/>
  <c r="L564"/>
  <c r="L565"/>
  <c r="L566"/>
  <c r="L567"/>
  <c r="L568"/>
  <c r="L569"/>
  <c r="L570"/>
  <c r="L571"/>
  <c r="L572"/>
  <c r="L573"/>
  <c r="L574"/>
  <c r="L575"/>
  <c r="L576"/>
  <c r="L577"/>
  <c r="L578"/>
  <c r="L579"/>
  <c r="L580"/>
  <c r="L581"/>
  <c r="L582"/>
  <c r="L583"/>
  <c r="L584"/>
  <c r="L585"/>
  <c r="L586"/>
  <c r="L587"/>
  <c r="L588"/>
  <c r="L589"/>
  <c r="L590"/>
  <c r="L591"/>
  <c r="L592"/>
  <c r="L593"/>
  <c r="L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K148"/>
  <c r="K149"/>
  <c r="K150"/>
  <c r="K151"/>
  <c r="K152"/>
  <c r="K153"/>
  <c r="K154"/>
  <c r="K155"/>
  <c r="K156"/>
  <c r="K157"/>
  <c r="K158"/>
  <c r="K159"/>
  <c r="K160"/>
  <c r="K161"/>
  <c r="K162"/>
  <c r="K163"/>
  <c r="K164"/>
  <c r="K165"/>
  <c r="K166"/>
  <c r="K167"/>
  <c r="K168"/>
  <c r="K169"/>
  <c r="K170"/>
  <c r="K171"/>
  <c r="K172"/>
  <c r="K173"/>
  <c r="K174"/>
  <c r="K175"/>
  <c r="K176"/>
  <c r="K177"/>
  <c r="K178"/>
  <c r="K179"/>
  <c r="K180"/>
  <c r="K181"/>
  <c r="K182"/>
  <c r="K183"/>
  <c r="K184"/>
  <c r="K185"/>
  <c r="K186"/>
  <c r="K187"/>
  <c r="K188"/>
  <c r="K189"/>
  <c r="K190"/>
  <c r="K191"/>
  <c r="K192"/>
  <c r="K193"/>
  <c r="K194"/>
  <c r="K195"/>
  <c r="K196"/>
  <c r="K197"/>
  <c r="K198"/>
  <c r="K199"/>
  <c r="K200"/>
  <c r="K201"/>
  <c r="K202"/>
  <c r="K203"/>
  <c r="K204"/>
  <c r="K205"/>
  <c r="K206"/>
  <c r="K207"/>
  <c r="K208"/>
  <c r="K209"/>
  <c r="K210"/>
  <c r="K211"/>
  <c r="K212"/>
  <c r="K213"/>
  <c r="K214"/>
  <c r="K215"/>
  <c r="K216"/>
  <c r="K217"/>
  <c r="K218"/>
  <c r="K219"/>
  <c r="K220"/>
  <c r="K221"/>
  <c r="K222"/>
  <c r="K223"/>
  <c r="K224"/>
  <c r="K225"/>
  <c r="K226"/>
  <c r="K227"/>
  <c r="K228"/>
  <c r="K229"/>
  <c r="K230"/>
  <c r="K231"/>
  <c r="K232"/>
  <c r="K233"/>
  <c r="K234"/>
  <c r="K235"/>
  <c r="K236"/>
  <c r="K237"/>
  <c r="K238"/>
  <c r="K239"/>
  <c r="K240"/>
  <c r="K241"/>
  <c r="K242"/>
  <c r="K243"/>
  <c r="K244"/>
  <c r="K245"/>
  <c r="K246"/>
  <c r="K247"/>
  <c r="K248"/>
  <c r="K249"/>
  <c r="K250"/>
  <c r="K251"/>
  <c r="K252"/>
  <c r="K253"/>
  <c r="K254"/>
  <c r="K255"/>
  <c r="K256"/>
  <c r="K257"/>
  <c r="K258"/>
  <c r="K259"/>
  <c r="K260"/>
  <c r="K261"/>
  <c r="K262"/>
  <c r="K263"/>
  <c r="K264"/>
  <c r="K265"/>
  <c r="K266"/>
  <c r="K267"/>
  <c r="K268"/>
  <c r="K269"/>
  <c r="K270"/>
  <c r="K271"/>
  <c r="K272"/>
  <c r="K273"/>
  <c r="K274"/>
  <c r="K275"/>
  <c r="K276"/>
  <c r="K277"/>
  <c r="K278"/>
  <c r="K279"/>
  <c r="K280"/>
  <c r="K281"/>
  <c r="K282"/>
  <c r="K283"/>
  <c r="K284"/>
  <c r="K285"/>
  <c r="K286"/>
  <c r="K287"/>
  <c r="K288"/>
  <c r="K289"/>
  <c r="K290"/>
  <c r="K291"/>
  <c r="K292"/>
  <c r="K293"/>
  <c r="K294"/>
  <c r="K295"/>
  <c r="K296"/>
  <c r="K297"/>
  <c r="K298"/>
  <c r="K299"/>
  <c r="K300"/>
  <c r="K301"/>
  <c r="K302"/>
  <c r="K303"/>
  <c r="K304"/>
  <c r="K305"/>
  <c r="K306"/>
  <c r="K307"/>
  <c r="K308"/>
  <c r="K309"/>
  <c r="K310"/>
  <c r="K311"/>
  <c r="K312"/>
  <c r="K313"/>
  <c r="K314"/>
  <c r="K315"/>
  <c r="K316"/>
  <c r="K317"/>
  <c r="K318"/>
  <c r="K319"/>
  <c r="K320"/>
  <c r="K321"/>
  <c r="K322"/>
  <c r="K323"/>
  <c r="K324"/>
  <c r="K325"/>
  <c r="K326"/>
  <c r="K327"/>
  <c r="K328"/>
  <c r="K329"/>
  <c r="K330"/>
  <c r="K331"/>
  <c r="K332"/>
  <c r="K333"/>
  <c r="K334"/>
  <c r="K335"/>
  <c r="K336"/>
  <c r="K337"/>
  <c r="K338"/>
  <c r="K339"/>
  <c r="K340"/>
  <c r="K341"/>
  <c r="K342"/>
  <c r="K343"/>
  <c r="K344"/>
  <c r="K345"/>
  <c r="K346"/>
  <c r="K347"/>
  <c r="K348"/>
  <c r="K349"/>
  <c r="K350"/>
  <c r="K351"/>
  <c r="K352"/>
  <c r="K353"/>
  <c r="K354"/>
  <c r="K355"/>
  <c r="K356"/>
  <c r="K357"/>
  <c r="K358"/>
  <c r="K359"/>
  <c r="K360"/>
  <c r="K361"/>
  <c r="K362"/>
  <c r="K363"/>
  <c r="K364"/>
  <c r="K365"/>
  <c r="K366"/>
  <c r="K367"/>
  <c r="K368"/>
  <c r="K369"/>
  <c r="K370"/>
  <c r="K371"/>
  <c r="K372"/>
  <c r="K373"/>
  <c r="K374"/>
  <c r="K375"/>
  <c r="K376"/>
  <c r="K377"/>
  <c r="K378"/>
  <c r="K379"/>
  <c r="K380"/>
  <c r="K381"/>
  <c r="K382"/>
  <c r="K383"/>
  <c r="K384"/>
  <c r="K385"/>
  <c r="K386"/>
  <c r="K387"/>
  <c r="K388"/>
  <c r="K389"/>
  <c r="K390"/>
  <c r="K391"/>
  <c r="K392"/>
  <c r="K393"/>
  <c r="K394"/>
  <c r="K395"/>
  <c r="K396"/>
  <c r="K397"/>
  <c r="K398"/>
  <c r="K399"/>
  <c r="K400"/>
  <c r="K401"/>
  <c r="K402"/>
  <c r="K403"/>
  <c r="K404"/>
  <c r="K405"/>
  <c r="K406"/>
  <c r="K407"/>
  <c r="K408"/>
  <c r="K409"/>
  <c r="K410"/>
  <c r="K411"/>
  <c r="K412"/>
  <c r="K413"/>
  <c r="K414"/>
  <c r="K415"/>
  <c r="K416"/>
  <c r="K417"/>
  <c r="K418"/>
  <c r="K419"/>
  <c r="K420"/>
  <c r="K421"/>
  <c r="K422"/>
  <c r="K423"/>
  <c r="K424"/>
  <c r="K425"/>
  <c r="K426"/>
  <c r="K427"/>
  <c r="K428"/>
  <c r="K429"/>
  <c r="K430"/>
  <c r="K431"/>
  <c r="K432"/>
  <c r="K433"/>
  <c r="K434"/>
  <c r="K435"/>
  <c r="K436"/>
  <c r="K437"/>
  <c r="K438"/>
  <c r="K439"/>
  <c r="K440"/>
  <c r="K441"/>
  <c r="K442"/>
  <c r="K443"/>
  <c r="K444"/>
  <c r="K445"/>
  <c r="K446"/>
  <c r="K447"/>
  <c r="K448"/>
  <c r="K449"/>
  <c r="K450"/>
  <c r="K451"/>
  <c r="K452"/>
  <c r="K453"/>
  <c r="K454"/>
  <c r="K455"/>
  <c r="K456"/>
  <c r="K457"/>
  <c r="K458"/>
  <c r="K459"/>
  <c r="K460"/>
  <c r="K461"/>
  <c r="K462"/>
  <c r="K463"/>
  <c r="K464"/>
  <c r="K465"/>
  <c r="K466"/>
  <c r="K467"/>
  <c r="K468"/>
  <c r="K469"/>
  <c r="K470"/>
  <c r="K471"/>
  <c r="K472"/>
  <c r="K473"/>
  <c r="K474"/>
  <c r="K475"/>
  <c r="K476"/>
  <c r="K477"/>
  <c r="K478"/>
  <c r="K479"/>
  <c r="K480"/>
  <c r="K481"/>
  <c r="K482"/>
  <c r="K483"/>
  <c r="K484"/>
  <c r="K485"/>
  <c r="K486"/>
  <c r="K487"/>
  <c r="K488"/>
  <c r="K489"/>
  <c r="K490"/>
  <c r="K491"/>
  <c r="K492"/>
  <c r="K493"/>
  <c r="K494"/>
  <c r="K495"/>
  <c r="K496"/>
  <c r="K497"/>
  <c r="K498"/>
  <c r="K499"/>
  <c r="K500"/>
  <c r="K501"/>
  <c r="K502"/>
  <c r="K503"/>
  <c r="K504"/>
  <c r="K505"/>
  <c r="K506"/>
  <c r="K507"/>
  <c r="K508"/>
  <c r="K509"/>
  <c r="K510"/>
  <c r="K511"/>
  <c r="K512"/>
  <c r="K513"/>
  <c r="K514"/>
  <c r="K515"/>
  <c r="K516"/>
  <c r="K517"/>
  <c r="K518"/>
  <c r="K519"/>
  <c r="K520"/>
  <c r="K521"/>
  <c r="K522"/>
  <c r="K523"/>
  <c r="K524"/>
  <c r="K525"/>
  <c r="K526"/>
  <c r="K527"/>
  <c r="K528"/>
  <c r="K529"/>
  <c r="K530"/>
  <c r="K531"/>
  <c r="K532"/>
  <c r="K533"/>
  <c r="K534"/>
  <c r="K535"/>
  <c r="K536"/>
  <c r="K537"/>
  <c r="K538"/>
  <c r="K539"/>
  <c r="K540"/>
  <c r="K541"/>
  <c r="K542"/>
  <c r="K543"/>
  <c r="K544"/>
  <c r="K545"/>
  <c r="K546"/>
  <c r="K547"/>
  <c r="K548"/>
  <c r="K549"/>
  <c r="K550"/>
  <c r="K551"/>
  <c r="K552"/>
  <c r="K553"/>
  <c r="K554"/>
  <c r="K555"/>
  <c r="K556"/>
  <c r="K557"/>
  <c r="K558"/>
  <c r="K559"/>
  <c r="K560"/>
  <c r="K561"/>
  <c r="K562"/>
  <c r="K563"/>
  <c r="K564"/>
  <c r="K565"/>
  <c r="K566"/>
  <c r="K567"/>
  <c r="K568"/>
  <c r="K569"/>
  <c r="K570"/>
  <c r="K571"/>
  <c r="K572"/>
  <c r="K573"/>
  <c r="K574"/>
  <c r="K575"/>
  <c r="K576"/>
  <c r="K577"/>
  <c r="K578"/>
  <c r="K579"/>
  <c r="K580"/>
  <c r="K581"/>
  <c r="K582"/>
  <c r="K583"/>
  <c r="K584"/>
  <c r="K585"/>
  <c r="K586"/>
  <c r="K587"/>
  <c r="K588"/>
  <c r="K589"/>
  <c r="K590"/>
  <c r="K591"/>
  <c r="K592"/>
  <c r="K593"/>
  <c r="K2"/>
  <c r="M3" i="2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2"/>
  <c r="J3" i="4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"/>
  <c r="L3" i="1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2"/>
  <c r="K198" i="2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  <c r="H3" i="4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"/>
  <c r="J3" i="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2"/>
  <c r="H3" i="2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2"/>
  <c r="J3" i="1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2"/>
  <c r="L3" i="5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2"/>
  <c r="I3" i="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2"/>
  <c r="G3" i="2"/>
  <c r="G2"/>
  <c r="G197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8"/>
  <c r="D83" i="6" l="1"/>
  <c r="D136"/>
  <c r="D160"/>
  <c r="D3"/>
  <c r="D27"/>
  <c r="D147"/>
  <c r="D171"/>
  <c r="D74"/>
  <c r="D98"/>
  <c r="D13"/>
  <c r="D37"/>
  <c r="D157"/>
  <c r="D181"/>
  <c r="F10"/>
  <c r="D34" s="1"/>
  <c r="D77" l="1"/>
  <c r="D174"/>
  <c r="D30"/>
  <c r="D163"/>
  <c r="D19"/>
  <c r="D68"/>
  <c r="D129"/>
  <c r="D190"/>
  <c r="D46"/>
  <c r="D169"/>
  <c r="D25"/>
  <c r="D86"/>
  <c r="D159"/>
  <c r="D15"/>
  <c r="D148"/>
  <c r="D4"/>
  <c r="D89"/>
  <c r="D186"/>
  <c r="D42"/>
  <c r="D175"/>
  <c r="D31"/>
  <c r="D80"/>
  <c r="D141"/>
  <c r="D47"/>
  <c r="D58"/>
  <c r="D11"/>
  <c r="D119"/>
  <c r="D16"/>
  <c r="D187"/>
  <c r="D153"/>
  <c r="D183"/>
  <c r="D39"/>
  <c r="D172"/>
  <c r="D28"/>
  <c r="D113"/>
  <c r="D60"/>
  <c r="D66"/>
  <c r="D55"/>
  <c r="D104"/>
  <c r="D165"/>
  <c r="D21"/>
  <c r="D82"/>
  <c r="D131"/>
  <c r="D101"/>
  <c r="D43"/>
  <c r="D70"/>
  <c r="D49"/>
  <c r="D48"/>
  <c r="D61"/>
  <c r="D122"/>
  <c r="D195"/>
  <c r="D51"/>
  <c r="D184"/>
  <c r="D40"/>
  <c r="D125"/>
  <c r="D192"/>
  <c r="D78"/>
  <c r="D12"/>
  <c r="D67"/>
  <c r="D116"/>
  <c r="D177"/>
  <c r="D33"/>
  <c r="D94"/>
  <c r="D143"/>
  <c r="D54"/>
  <c r="D92"/>
  <c r="D9"/>
  <c r="D193"/>
  <c r="D110"/>
  <c r="D35"/>
  <c r="D73"/>
  <c r="D134"/>
  <c r="D84"/>
  <c r="D63"/>
  <c r="D196"/>
  <c r="D52"/>
  <c r="D137"/>
  <c r="D23"/>
  <c r="D90"/>
  <c r="D96"/>
  <c r="D79"/>
  <c r="D128"/>
  <c r="D189"/>
  <c r="D45"/>
  <c r="D106"/>
  <c r="D155"/>
  <c r="D85"/>
  <c r="D102"/>
  <c r="D118"/>
  <c r="D95"/>
  <c r="D24"/>
  <c r="D149"/>
  <c r="D5"/>
  <c r="D120"/>
  <c r="D91"/>
  <c r="D140"/>
  <c r="D107"/>
  <c r="D57"/>
  <c r="D167"/>
  <c r="D97"/>
  <c r="D158"/>
  <c r="D14"/>
  <c r="D87"/>
  <c r="D108"/>
  <c r="D76"/>
  <c r="D161"/>
  <c r="D17"/>
  <c r="D114"/>
  <c r="D144"/>
  <c r="D103"/>
  <c r="D152"/>
  <c r="D8"/>
  <c r="D69"/>
  <c r="D130"/>
  <c r="D179"/>
  <c r="D198"/>
  <c r="D146"/>
  <c r="D75"/>
  <c r="D64"/>
  <c r="D109"/>
  <c r="D170"/>
  <c r="D26"/>
  <c r="D99"/>
  <c r="D132"/>
  <c r="D88"/>
  <c r="D173"/>
  <c r="D29"/>
  <c r="D126"/>
  <c r="D168"/>
  <c r="D115"/>
  <c r="D164"/>
  <c r="D20"/>
  <c r="D81"/>
  <c r="D142"/>
  <c r="D191"/>
  <c r="D156"/>
  <c r="D127"/>
  <c r="D10"/>
  <c r="D121"/>
  <c r="D182"/>
  <c r="D38"/>
  <c r="D111"/>
  <c r="D100"/>
  <c r="D185"/>
  <c r="D41"/>
  <c r="D138"/>
  <c r="D71"/>
  <c r="D176"/>
  <c r="D32"/>
  <c r="D93"/>
  <c r="D154"/>
  <c r="D133"/>
  <c r="D194"/>
  <c r="D50"/>
  <c r="D123"/>
  <c r="D180"/>
  <c r="D112"/>
  <c r="D197"/>
  <c r="D53"/>
  <c r="D150"/>
  <c r="D6"/>
  <c r="D139"/>
  <c r="D188"/>
  <c r="D44"/>
  <c r="D105"/>
  <c r="D166"/>
  <c r="D22"/>
  <c r="D145"/>
  <c r="D36"/>
  <c r="D62"/>
  <c r="D135"/>
  <c r="D59"/>
  <c r="D124"/>
  <c r="D72"/>
  <c r="D65"/>
  <c r="D162"/>
  <c r="D18"/>
  <c r="D151"/>
  <c r="D7"/>
  <c r="D56"/>
  <c r="D117"/>
  <c r="D178"/>
</calcChain>
</file>

<file path=xl/sharedStrings.xml><?xml version="1.0" encoding="utf-8"?>
<sst xmlns="http://schemas.openxmlformats.org/spreadsheetml/2006/main" count="2796" uniqueCount="985">
  <si>
    <t>id_client</t>
  </si>
  <si>
    <t>nume</t>
  </si>
  <si>
    <t>prenume</t>
  </si>
  <si>
    <t>CNP</t>
  </si>
  <si>
    <t>adresa</t>
  </si>
  <si>
    <t>telefon</t>
  </si>
  <si>
    <t>Popescu</t>
  </si>
  <si>
    <t>Ionescu</t>
  </si>
  <si>
    <t>Georgescu</t>
  </si>
  <si>
    <t>Dumitrescu</t>
  </si>
  <si>
    <t>Vasilescu</t>
  </si>
  <si>
    <t>Enescu</t>
  </si>
  <si>
    <t>Marin</t>
  </si>
  <si>
    <t>Pavel</t>
  </si>
  <si>
    <t>Stan</t>
  </si>
  <si>
    <t>Drăgan</t>
  </si>
  <si>
    <t>Munteanu</t>
  </si>
  <si>
    <t>Bălan</t>
  </si>
  <si>
    <t>Petrescu</t>
  </si>
  <si>
    <t>Dobre</t>
  </si>
  <si>
    <t>Ilie</t>
  </si>
  <si>
    <t>Stoica</t>
  </si>
  <si>
    <t>Iancu</t>
  </si>
  <si>
    <t>Tudor</t>
  </si>
  <si>
    <t>Nistor</t>
  </si>
  <si>
    <t>Popa</t>
  </si>
  <si>
    <t>Constantin</t>
  </si>
  <si>
    <t>Negrescu</t>
  </si>
  <si>
    <t>Petcu</t>
  </si>
  <si>
    <t>Radu</t>
  </si>
  <si>
    <t>Olaru</t>
  </si>
  <si>
    <t>Ion</t>
  </si>
  <si>
    <t>Maria</t>
  </si>
  <si>
    <t>Andrei</t>
  </si>
  <si>
    <t>Ana</t>
  </si>
  <si>
    <t>Mihai</t>
  </si>
  <si>
    <t>Cristian</t>
  </si>
  <si>
    <t>Elena</t>
  </si>
  <si>
    <t>Ioana</t>
  </si>
  <si>
    <t>Adrian</t>
  </si>
  <si>
    <t>Laura</t>
  </si>
  <si>
    <t>Victor</t>
  </si>
  <si>
    <t>Simona</t>
  </si>
  <si>
    <t>Florin</t>
  </si>
  <si>
    <t>Alexandra</t>
  </si>
  <si>
    <t>Răzvan</t>
  </si>
  <si>
    <t>Raluca</t>
  </si>
  <si>
    <t>Alexandru</t>
  </si>
  <si>
    <t>Adriana</t>
  </si>
  <si>
    <t>1234567890123</t>
  </si>
  <si>
    <t>2234567890123</t>
  </si>
  <si>
    <t>3234567890123</t>
  </si>
  <si>
    <t>4234567890123</t>
  </si>
  <si>
    <t>5234567890123</t>
  </si>
  <si>
    <t>6234567890123</t>
  </si>
  <si>
    <t>7234567890123</t>
  </si>
  <si>
    <t>8234567890123</t>
  </si>
  <si>
    <t>9234567890123</t>
  </si>
  <si>
    <t>1034567890123</t>
  </si>
  <si>
    <t>1134567890123</t>
  </si>
  <si>
    <t>1234567890124</t>
  </si>
  <si>
    <t>1334567890123</t>
  </si>
  <si>
    <t>1434567890123</t>
  </si>
  <si>
    <t>1534567890123</t>
  </si>
  <si>
    <t>4648315110338</t>
  </si>
  <si>
    <t>2716145910775</t>
  </si>
  <si>
    <t>9110794308252</t>
  </si>
  <si>
    <t>6247047095146</t>
  </si>
  <si>
    <t>9725424152047</t>
  </si>
  <si>
    <t>9319738554660</t>
  </si>
  <si>
    <t>6126590357684</t>
  </si>
  <si>
    <t>2192374359325</t>
  </si>
  <si>
    <t>9234240887540</t>
  </si>
  <si>
    <t>3086987933655</t>
  </si>
  <si>
    <t>2625377249191</t>
  </si>
  <si>
    <t>2065337000174</t>
  </si>
  <si>
    <t>6265275988194</t>
  </si>
  <si>
    <t>6885937240749</t>
  </si>
  <si>
    <t>4457694195570</t>
  </si>
  <si>
    <t>9520652444288</t>
  </si>
  <si>
    <t>3049789162906</t>
  </si>
  <si>
    <t>6372454736283</t>
  </si>
  <si>
    <t>1291603726138</t>
  </si>
  <si>
    <t>2136015322701</t>
  </si>
  <si>
    <t>7256572028286</t>
  </si>
  <si>
    <t>9985707062023</t>
  </si>
  <si>
    <t>5706590046193</t>
  </si>
  <si>
    <t>9869031708306</t>
  </si>
  <si>
    <t>5714956571689</t>
  </si>
  <si>
    <t>3336436741202</t>
  </si>
  <si>
    <t>7244381156884</t>
  </si>
  <si>
    <t>2767735245528</t>
  </si>
  <si>
    <t>3122598461957</t>
  </si>
  <si>
    <t>5978908419198</t>
  </si>
  <si>
    <t>3822607213643</t>
  </si>
  <si>
    <t>3131305427412</t>
  </si>
  <si>
    <t>9543271297930</t>
  </si>
  <si>
    <t>8273224425905</t>
  </si>
  <si>
    <t>2935922017928</t>
  </si>
  <si>
    <t>3450155922334</t>
  </si>
  <si>
    <t>6859480457512</t>
  </si>
  <si>
    <t>6391663946674</t>
  </si>
  <si>
    <t>6414313987722</t>
  </si>
  <si>
    <t>5210555311407</t>
  </si>
  <si>
    <t>2970867450055</t>
  </si>
  <si>
    <t>6059517879410</t>
  </si>
  <si>
    <t>8982761857700</t>
  </si>
  <si>
    <t>1202546413489</t>
  </si>
  <si>
    <t>6453794766537</t>
  </si>
  <si>
    <t>5577017106113</t>
  </si>
  <si>
    <t>5375714227917</t>
  </si>
  <si>
    <t>9610270286332</t>
  </si>
  <si>
    <t>4974013161325</t>
  </si>
  <si>
    <t>5963200036943</t>
  </si>
  <si>
    <t>4518905792488</t>
  </si>
  <si>
    <t>5421415814861</t>
  </si>
  <si>
    <t>2687229105249</t>
  </si>
  <si>
    <t>3401337627368</t>
  </si>
  <si>
    <t>1026154043492</t>
  </si>
  <si>
    <t>6801231953549</t>
  </si>
  <si>
    <t>1065115868587</t>
  </si>
  <si>
    <t>9309486274758</t>
  </si>
  <si>
    <t>5470465652502</t>
  </si>
  <si>
    <t>7080967221399</t>
  </si>
  <si>
    <t>6119993382496</t>
  </si>
  <si>
    <t>5739659185644</t>
  </si>
  <si>
    <t>1140611471660</t>
  </si>
  <si>
    <t>3183892864793</t>
  </si>
  <si>
    <t>3246512692215</t>
  </si>
  <si>
    <t>3155422710712</t>
  </si>
  <si>
    <t>2050279421692</t>
  </si>
  <si>
    <t>3325439495370</t>
  </si>
  <si>
    <t>6423061879064</t>
  </si>
  <si>
    <t>5377509401371</t>
  </si>
  <si>
    <t>3796914735759</t>
  </si>
  <si>
    <t>1714736348835</t>
  </si>
  <si>
    <t>3725229662674</t>
  </si>
  <si>
    <t>2408877404353</t>
  </si>
  <si>
    <t>1712588106299</t>
  </si>
  <si>
    <t>3724109206765</t>
  </si>
  <si>
    <t>9501178347127</t>
  </si>
  <si>
    <t>3397460614832</t>
  </si>
  <si>
    <t>9061338040274</t>
  </si>
  <si>
    <t>8731285718364</t>
  </si>
  <si>
    <t>1552229030941</t>
  </si>
  <si>
    <t>1657676299369</t>
  </si>
  <si>
    <t>6646223165797</t>
  </si>
  <si>
    <t>5031782170527</t>
  </si>
  <si>
    <t>4361066528719</t>
  </si>
  <si>
    <t>Strada Florilor 5</t>
  </si>
  <si>
    <t>Strada Viilor 10</t>
  </si>
  <si>
    <t>Strada Ciresilor 15</t>
  </si>
  <si>
    <t>Strada Salcamilor 20</t>
  </si>
  <si>
    <t>Strada Castanilor 25</t>
  </si>
  <si>
    <t>Strada Teiului 30</t>
  </si>
  <si>
    <t>Strada Lalelelor 35</t>
  </si>
  <si>
    <t>Strada Magnoliei 40</t>
  </si>
  <si>
    <t>Strada Fagului 45</t>
  </si>
  <si>
    <t>Strada Paltinului 50</t>
  </si>
  <si>
    <t>Strada Gorunului 55</t>
  </si>
  <si>
    <t>Strada Nucului 60</t>
  </si>
  <si>
    <t>Strada Frasinului 65</t>
  </si>
  <si>
    <t>Strada Molidului 70</t>
  </si>
  <si>
    <t>Strada Salcâmului 75</t>
  </si>
  <si>
    <t>Strada Speranței 99</t>
  </si>
  <si>
    <t>Strada Libertății 11</t>
  </si>
  <si>
    <t>Strada Libertății 56</t>
  </si>
  <si>
    <t>Strada Libertății 86</t>
  </si>
  <si>
    <t>Strada Republicii 29</t>
  </si>
  <si>
    <t>Strada Victoriei 17</t>
  </si>
  <si>
    <t>Strada Republicii 50</t>
  </si>
  <si>
    <t>Strada Republicii 4</t>
  </si>
  <si>
    <t>Strada Republicii 68</t>
  </si>
  <si>
    <t>Strada Libertății 38</t>
  </si>
  <si>
    <t>Strada Libertății 29</t>
  </si>
  <si>
    <t>Strada Libertății 91</t>
  </si>
  <si>
    <t>Strada Unirii 77</t>
  </si>
  <si>
    <t>Strada Speranței 26</t>
  </si>
  <si>
    <t>Strada Unirii 87</t>
  </si>
  <si>
    <t>Strada Unirii 7</t>
  </si>
  <si>
    <t>Strada Republicii 25</t>
  </si>
  <si>
    <t>Strada Unirii 88</t>
  </si>
  <si>
    <t>Strada Speranței 22</t>
  </si>
  <si>
    <t>Strada Libertății 62</t>
  </si>
  <si>
    <t>Strada Republicii 13</t>
  </si>
  <si>
    <t>Strada Speranței 28</t>
  </si>
  <si>
    <t>Strada Victoriei 99</t>
  </si>
  <si>
    <t>Strada Republicii 84</t>
  </si>
  <si>
    <t>Strada Republicii 65</t>
  </si>
  <si>
    <t>Strada Republicii 98</t>
  </si>
  <si>
    <t>Strada Libertății 80</t>
  </si>
  <si>
    <t>Strada Republicii 76</t>
  </si>
  <si>
    <t>Strada Libertății 63</t>
  </si>
  <si>
    <t>Strada Republicii 38</t>
  </si>
  <si>
    <t>Strada Libertății 71</t>
  </si>
  <si>
    <t>Strada Unirii 67</t>
  </si>
  <si>
    <t>Strada Republicii 9</t>
  </si>
  <si>
    <t>Strada Victoriei 69</t>
  </si>
  <si>
    <t>Strada Republicii 47</t>
  </si>
  <si>
    <t>Strada Speranței 75</t>
  </si>
  <si>
    <t>Strada Unirii 64</t>
  </si>
  <si>
    <t>Strada Libertății 100</t>
  </si>
  <si>
    <t>Strada Victoriei 6</t>
  </si>
  <si>
    <t>Strada Republicii 2</t>
  </si>
  <si>
    <t>Strada Libertății 52</t>
  </si>
  <si>
    <t>Strada Speranței 85</t>
  </si>
  <si>
    <t>Strada Speranței 48</t>
  </si>
  <si>
    <t>Strada Speranței 59</t>
  </si>
  <si>
    <t>Strada Libertății 64</t>
  </si>
  <si>
    <t>Strada Republicii 74</t>
  </si>
  <si>
    <t>Strada Unirii 78</t>
  </si>
  <si>
    <t>Strada Unirii 26</t>
  </si>
  <si>
    <t>Strada Libertății 7</t>
  </si>
  <si>
    <t>Strada Speranței 15</t>
  </si>
  <si>
    <t>Strada Libertății 76</t>
  </si>
  <si>
    <t>Strada Unirii 71</t>
  </si>
  <si>
    <t>Strada Libertății 35</t>
  </si>
  <si>
    <t>Strada Libertății 49</t>
  </si>
  <si>
    <t>Strada Victoriei 51</t>
  </si>
  <si>
    <t>Strada Unirii 42</t>
  </si>
  <si>
    <t>Strada Libertății 72</t>
  </si>
  <si>
    <t>Strada Republicii 83</t>
  </si>
  <si>
    <t>Strada Victoriei 39</t>
  </si>
  <si>
    <t>Strada Victoriei 33</t>
  </si>
  <si>
    <t>Strada Victoriei 49</t>
  </si>
  <si>
    <t>Strada Libertății 8</t>
  </si>
  <si>
    <t>Strada Unirii 74</t>
  </si>
  <si>
    <t>Strada Victoriei 13</t>
  </si>
  <si>
    <t>Strada Unirii 19</t>
  </si>
  <si>
    <t>Strada Speranței 6</t>
  </si>
  <si>
    <t>Strada Victoriei 67</t>
  </si>
  <si>
    <t>Strada Republicii 77</t>
  </si>
  <si>
    <t>Strada Republicii 53</t>
  </si>
  <si>
    <t>Strada Libertății 14</t>
  </si>
  <si>
    <t>Strada Speranței 62</t>
  </si>
  <si>
    <t>Strada Unirii 33</t>
  </si>
  <si>
    <t>Strada Victoriei 44</t>
  </si>
  <si>
    <t>Strada Victoriei 42</t>
  </si>
  <si>
    <t>Strada Unirii 21</t>
  </si>
  <si>
    <t>Strada Speranței 19</t>
  </si>
  <si>
    <t>Strada Republicii 87</t>
  </si>
  <si>
    <t>Strada Speranței 40</t>
  </si>
  <si>
    <t>Strada Speranței 20</t>
  </si>
  <si>
    <t>Strada Unirii 94</t>
  </si>
  <si>
    <t>0741123456</t>
  </si>
  <si>
    <t>0742123456</t>
  </si>
  <si>
    <t>0743123456</t>
  </si>
  <si>
    <t>0744123456</t>
  </si>
  <si>
    <t>0745123456</t>
  </si>
  <si>
    <t>0746123456</t>
  </si>
  <si>
    <t>0747123456</t>
  </si>
  <si>
    <t>0748123456</t>
  </si>
  <si>
    <t>0749123456</t>
  </si>
  <si>
    <t>0750123456</t>
  </si>
  <si>
    <t>0751123456</t>
  </si>
  <si>
    <t>0752123456</t>
  </si>
  <si>
    <t>0753123456</t>
  </si>
  <si>
    <t>0754123456</t>
  </si>
  <si>
    <t>0755123456</t>
  </si>
  <si>
    <t>0757290320</t>
  </si>
  <si>
    <t>0787176209</t>
  </si>
  <si>
    <t>0743485186</t>
  </si>
  <si>
    <t>0747612089</t>
  </si>
  <si>
    <t>0775871032</t>
  </si>
  <si>
    <t>0797248098</t>
  </si>
  <si>
    <t>0781729058</t>
  </si>
  <si>
    <t>0758398581</t>
  </si>
  <si>
    <t>0761856360</t>
  </si>
  <si>
    <t>0752878606</t>
  </si>
  <si>
    <t>0761482864</t>
  </si>
  <si>
    <t>0752898258</t>
  </si>
  <si>
    <t>0758183982</t>
  </si>
  <si>
    <t>0767036263</t>
  </si>
  <si>
    <t>0760845507</t>
  </si>
  <si>
    <t>0755683896</t>
  </si>
  <si>
    <t>0758927850</t>
  </si>
  <si>
    <t>0790353192</t>
  </si>
  <si>
    <t>0771012935</t>
  </si>
  <si>
    <t>0789293137</t>
  </si>
  <si>
    <t>0746984427</t>
  </si>
  <si>
    <t>0791024491</t>
  </si>
  <si>
    <t>0796437727</t>
  </si>
  <si>
    <t>0742524568</t>
  </si>
  <si>
    <t>0771575078</t>
  </si>
  <si>
    <t>0769744884</t>
  </si>
  <si>
    <t>0777468034</t>
  </si>
  <si>
    <t>0777989251</t>
  </si>
  <si>
    <t>0788342291</t>
  </si>
  <si>
    <t>0790934078</t>
  </si>
  <si>
    <t>0740351730</t>
  </si>
  <si>
    <t>0794266961</t>
  </si>
  <si>
    <t>0774645775</t>
  </si>
  <si>
    <t>0763287725</t>
  </si>
  <si>
    <t>0756553041</t>
  </si>
  <si>
    <t>0787894160</t>
  </si>
  <si>
    <t>0770488590</t>
  </si>
  <si>
    <t>0773822108</t>
  </si>
  <si>
    <t>0799161610</t>
  </si>
  <si>
    <t>0798119111</t>
  </si>
  <si>
    <t>0796246368</t>
  </si>
  <si>
    <t>0787992818</t>
  </si>
  <si>
    <t>0747751921</t>
  </si>
  <si>
    <t>0760861249</t>
  </si>
  <si>
    <t>0784228954</t>
  </si>
  <si>
    <t>0794596400</t>
  </si>
  <si>
    <t>0787902346</t>
  </si>
  <si>
    <t>0785755215</t>
  </si>
  <si>
    <t>0771212859</t>
  </si>
  <si>
    <t>0762668824</t>
  </si>
  <si>
    <t>0775250528</t>
  </si>
  <si>
    <t>0777379693</t>
  </si>
  <si>
    <t>0775284053</t>
  </si>
  <si>
    <t>0740680332</t>
  </si>
  <si>
    <t>0777962129</t>
  </si>
  <si>
    <t>0785579355</t>
  </si>
  <si>
    <t>0785483293</t>
  </si>
  <si>
    <t>0791883000</t>
  </si>
  <si>
    <t>0796334776</t>
  </si>
  <si>
    <t>0755237844</t>
  </si>
  <si>
    <t>0765244330</t>
  </si>
  <si>
    <t>0747995494</t>
  </si>
  <si>
    <t>0777340148</t>
  </si>
  <si>
    <t>0783696335</t>
  </si>
  <si>
    <t>0747282328</t>
  </si>
  <si>
    <t>0758707092</t>
  </si>
  <si>
    <t>0786188337</t>
  </si>
  <si>
    <t>0784750796</t>
  </si>
  <si>
    <t>0762650246</t>
  </si>
  <si>
    <t>0766898118</t>
  </si>
  <si>
    <t>0771084830</t>
  </si>
  <si>
    <t>0762174325</t>
  </si>
  <si>
    <t>0798020177</t>
  </si>
  <si>
    <t>0757571971</t>
  </si>
  <si>
    <t>0788512484</t>
  </si>
  <si>
    <t>0789318069</t>
  </si>
  <si>
    <t>0741610524</t>
  </si>
  <si>
    <t>0752767551</t>
  </si>
  <si>
    <t>0747439383</t>
  </si>
  <si>
    <t>0775398816</t>
  </si>
  <si>
    <t>0770576568</t>
  </si>
  <si>
    <t>0794765137</t>
  </si>
  <si>
    <t>0798211471</t>
  </si>
  <si>
    <t>0778628330</t>
  </si>
  <si>
    <t>0769730239</t>
  </si>
  <si>
    <t>id_cont</t>
  </si>
  <si>
    <t>tip_cont</t>
  </si>
  <si>
    <t>sold</t>
  </si>
  <si>
    <t>data_crearii</t>
  </si>
  <si>
    <t>curent</t>
  </si>
  <si>
    <t>economii</t>
  </si>
  <si>
    <t>id_tranzactie</t>
  </si>
  <si>
    <t>id_cont_sursa</t>
  </si>
  <si>
    <t>id_cont_destinatie</t>
  </si>
  <si>
    <t>suma</t>
  </si>
  <si>
    <t>data_tranzactiei</t>
  </si>
  <si>
    <t>tip_tranzactie</t>
  </si>
  <si>
    <t>retragere</t>
  </si>
  <si>
    <t>transfer</t>
  </si>
  <si>
    <t>depunere</t>
  </si>
  <si>
    <t>id_card</t>
  </si>
  <si>
    <t>numar_card</t>
  </si>
  <si>
    <t>data_expirare</t>
  </si>
  <si>
    <t>cvv</t>
  </si>
  <si>
    <t>2121392385263234</t>
  </si>
  <si>
    <t>6249509041245919</t>
  </si>
  <si>
    <t>7795388068345444</t>
  </si>
  <si>
    <t>9602307451897598</t>
  </si>
  <si>
    <t>6368187287013810</t>
  </si>
  <si>
    <t>5411410025698213</t>
  </si>
  <si>
    <t>5551029323095116</t>
  </si>
  <si>
    <t>3819493489901617</t>
  </si>
  <si>
    <t>4612471941433031</t>
  </si>
  <si>
    <t>9877593008156561</t>
  </si>
  <si>
    <t>6392955627630152</t>
  </si>
  <si>
    <t>8855263853222602</t>
  </si>
  <si>
    <t>9817693616146098</t>
  </si>
  <si>
    <t>4025215028290368</t>
  </si>
  <si>
    <t>6374146426337600</t>
  </si>
  <si>
    <t>0578449318078606</t>
  </si>
  <si>
    <t>9716118240113649</t>
  </si>
  <si>
    <t>5942535037968375</t>
  </si>
  <si>
    <t>3087281735882533</t>
  </si>
  <si>
    <t>1912328202986822</t>
  </si>
  <si>
    <t>7862488511452412</t>
  </si>
  <si>
    <t>2888090569590042</t>
  </si>
  <si>
    <t>9092847648420219</t>
  </si>
  <si>
    <t>6953957177301203</t>
  </si>
  <si>
    <t>7836175774422538</t>
  </si>
  <si>
    <t>4280313430348765</t>
  </si>
  <si>
    <t>4843511447752686</t>
  </si>
  <si>
    <t>0307448616613197</t>
  </si>
  <si>
    <t>2182929199838230</t>
  </si>
  <si>
    <t>2238375171864027</t>
  </si>
  <si>
    <t>3897263543418662</t>
  </si>
  <si>
    <t>4893821265102734</t>
  </si>
  <si>
    <t>2646772715690866</t>
  </si>
  <si>
    <t>5477973235085975</t>
  </si>
  <si>
    <t>4155256994443409</t>
  </si>
  <si>
    <t>6321938148187247</t>
  </si>
  <si>
    <t>1803669092452116</t>
  </si>
  <si>
    <t>3941836829921950</t>
  </si>
  <si>
    <t>2191035344796371</t>
  </si>
  <si>
    <t>3400735188217485</t>
  </si>
  <si>
    <t>2064865855108924</t>
  </si>
  <si>
    <t>0938580760140346</t>
  </si>
  <si>
    <t>5324601241284393</t>
  </si>
  <si>
    <t>1345538946091670</t>
  </si>
  <si>
    <t>8288350734180943</t>
  </si>
  <si>
    <t>3371494555703189</t>
  </si>
  <si>
    <t>6578241600091557</t>
  </si>
  <si>
    <t>6222975065214926</t>
  </si>
  <si>
    <t>7540351248635428</t>
  </si>
  <si>
    <t>2243746505207478</t>
  </si>
  <si>
    <t>6274933493227752</t>
  </si>
  <si>
    <t>7512325500085684</t>
  </si>
  <si>
    <t>0063501705860100</t>
  </si>
  <si>
    <t>8887461364801470</t>
  </si>
  <si>
    <t>9680093413500583</t>
  </si>
  <si>
    <t>9188573667524529</t>
  </si>
  <si>
    <t>4544265434377442</t>
  </si>
  <si>
    <t>5776880087003915</t>
  </si>
  <si>
    <t>3193759677900793</t>
  </si>
  <si>
    <t>9604112924171989</t>
  </si>
  <si>
    <t>6177313916825535</t>
  </si>
  <si>
    <t>3610313338227288</t>
  </si>
  <si>
    <t>1660546450979730</t>
  </si>
  <si>
    <t>3007202938578981</t>
  </si>
  <si>
    <t>2043652243023096</t>
  </si>
  <si>
    <t>9141041077827671</t>
  </si>
  <si>
    <t>5579556185644503</t>
  </si>
  <si>
    <t>6586641090247029</t>
  </si>
  <si>
    <t>0279788909158038</t>
  </si>
  <si>
    <t>7607310873535485</t>
  </si>
  <si>
    <t>5418288353059682</t>
  </si>
  <si>
    <t>1553107691548374</t>
  </si>
  <si>
    <t>0430068204329669</t>
  </si>
  <si>
    <t>3276654293445003</t>
  </si>
  <si>
    <t>3836369624684717</t>
  </si>
  <si>
    <t>0202991548087810</t>
  </si>
  <si>
    <t>3467526053832897</t>
  </si>
  <si>
    <t>5828051782894935</t>
  </si>
  <si>
    <t>8318650191810545</t>
  </si>
  <si>
    <t>4112564943631650</t>
  </si>
  <si>
    <t>2316658676411926</t>
  </si>
  <si>
    <t>2320296124727997</t>
  </si>
  <si>
    <t>1502633245427148</t>
  </si>
  <si>
    <t>7547779097810407</t>
  </si>
  <si>
    <t>9385240513358376</t>
  </si>
  <si>
    <t>2813383231972015</t>
  </si>
  <si>
    <t>9946550590533790</t>
  </si>
  <si>
    <t>4592037819160561</t>
  </si>
  <si>
    <t>6033907155114179</t>
  </si>
  <si>
    <t>3294330915281553</t>
  </si>
  <si>
    <t>0667879808438838</t>
  </si>
  <si>
    <t>9372590496471694</t>
  </si>
  <si>
    <t>5209824530867596</t>
  </si>
  <si>
    <t>8212239610872003</t>
  </si>
  <si>
    <t>4944463790229136</t>
  </si>
  <si>
    <t>5911954816476351</t>
  </si>
  <si>
    <t>1633327027142700</t>
  </si>
  <si>
    <t>8462343518395381</t>
  </si>
  <si>
    <t>7027568103975833</t>
  </si>
  <si>
    <t>7828187963317294</t>
  </si>
  <si>
    <t>2835660632295918</t>
  </si>
  <si>
    <t>2567342183917495</t>
  </si>
  <si>
    <t>9408573063167519</t>
  </si>
  <si>
    <t>3929913803226149</t>
  </si>
  <si>
    <t>9501668207445723</t>
  </si>
  <si>
    <t>6597305293051050</t>
  </si>
  <si>
    <t>5292396369326311</t>
  </si>
  <si>
    <t>1798997233993563</t>
  </si>
  <si>
    <t>2138018189699798</t>
  </si>
  <si>
    <t>1691731732036623</t>
  </si>
  <si>
    <t>5995633858057429</t>
  </si>
  <si>
    <t>6708071886143301</t>
  </si>
  <si>
    <t>3725503394556405</t>
  </si>
  <si>
    <t>4971004036361052</t>
  </si>
  <si>
    <t>3991254210271675</t>
  </si>
  <si>
    <t>1498056624339823</t>
  </si>
  <si>
    <t>9990678069819737</t>
  </si>
  <si>
    <t>3782251827526261</t>
  </si>
  <si>
    <t>2899603507464031</t>
  </si>
  <si>
    <t>6273699683402782</t>
  </si>
  <si>
    <t>3662979148737656</t>
  </si>
  <si>
    <t>6712183117127577</t>
  </si>
  <si>
    <t>8460378064730082</t>
  </si>
  <si>
    <t>7075145273571359</t>
  </si>
  <si>
    <t>4640228930695529</t>
  </si>
  <si>
    <t>1622517301443887</t>
  </si>
  <si>
    <t>6586294575675800</t>
  </si>
  <si>
    <t>4548465250143440</t>
  </si>
  <si>
    <t>3168074162407726</t>
  </si>
  <si>
    <t>5570379546904201</t>
  </si>
  <si>
    <t>6510192493015722</t>
  </si>
  <si>
    <t>2863097047607282</t>
  </si>
  <si>
    <t>2789043451332501</t>
  </si>
  <si>
    <t>0682072269348427</t>
  </si>
  <si>
    <t>0141307660462479</t>
  </si>
  <si>
    <t>7989926539242450</t>
  </si>
  <si>
    <t>4853621503986078</t>
  </si>
  <si>
    <t>7480369686784737</t>
  </si>
  <si>
    <t>5601672918435174</t>
  </si>
  <si>
    <t>4839024421231412</t>
  </si>
  <si>
    <t>7440615549175356</t>
  </si>
  <si>
    <t>0450006036312111</t>
  </si>
  <si>
    <t>1905643339502093</t>
  </si>
  <si>
    <t>8401512252537507</t>
  </si>
  <si>
    <t>5468324435196632</t>
  </si>
  <si>
    <t>7133071032460331</t>
  </si>
  <si>
    <t>6401978654305091</t>
  </si>
  <si>
    <t>2250684412670331</t>
  </si>
  <si>
    <t>4941832061664783</t>
  </si>
  <si>
    <t>2823292355741132</t>
  </si>
  <si>
    <t>1131819044039407</t>
  </si>
  <si>
    <t>8754479476826212</t>
  </si>
  <si>
    <t>7595436655027663</t>
  </si>
  <si>
    <t>6625737847949490</t>
  </si>
  <si>
    <t>2581459340509911</t>
  </si>
  <si>
    <t>7173040176763205</t>
  </si>
  <si>
    <t>0853723657136019</t>
  </si>
  <si>
    <t>8379093683608237</t>
  </si>
  <si>
    <t>8707140569157038</t>
  </si>
  <si>
    <t>5761174513117268</t>
  </si>
  <si>
    <t>7423896050730043</t>
  </si>
  <si>
    <t>4252331800143599</t>
  </si>
  <si>
    <t>4070747178663045</t>
  </si>
  <si>
    <t>0288534860131068</t>
  </si>
  <si>
    <t>4718873180760514</t>
  </si>
  <si>
    <t>0306374863251552</t>
  </si>
  <si>
    <t>4960276749825702</t>
  </si>
  <si>
    <t>5466602229103200</t>
  </si>
  <si>
    <t>1061185896030695</t>
  </si>
  <si>
    <t>9209601825076614</t>
  </si>
  <si>
    <t>5025629359481125</t>
  </si>
  <si>
    <t>7796346019809699</t>
  </si>
  <si>
    <t>0806334479548022</t>
  </si>
  <si>
    <t>1752948346498870</t>
  </si>
  <si>
    <t>0710166316550068</t>
  </si>
  <si>
    <t>9574596044543049</t>
  </si>
  <si>
    <t>1716984397186930</t>
  </si>
  <si>
    <t>0038346290883291</t>
  </si>
  <si>
    <t>3552302320491163</t>
  </si>
  <si>
    <t>1380671517804035</t>
  </si>
  <si>
    <t>9236527444039687</t>
  </si>
  <si>
    <t>3643557234367276</t>
  </si>
  <si>
    <t>9544626538072367</t>
  </si>
  <si>
    <t>1057578466861060</t>
  </si>
  <si>
    <t>3553236998871853</t>
  </si>
  <si>
    <t>4193797373428601</t>
  </si>
  <si>
    <t>7865145544464887</t>
  </si>
  <si>
    <t>7675809591338908</t>
  </si>
  <si>
    <t>5795726605078486</t>
  </si>
  <si>
    <t>9946297032024371</t>
  </si>
  <si>
    <t>3721879040967983</t>
  </si>
  <si>
    <t>1740449260278662</t>
  </si>
  <si>
    <t>8480637254794650</t>
  </si>
  <si>
    <t>7284543174456050</t>
  </si>
  <si>
    <t>9445682926781056</t>
  </si>
  <si>
    <t>9444557668780446</t>
  </si>
  <si>
    <t>1227341698707278</t>
  </si>
  <si>
    <t>3358901017141526</t>
  </si>
  <si>
    <t>4405432771328023</t>
  </si>
  <si>
    <t>6426264113992755</t>
  </si>
  <si>
    <t>9773510462506827</t>
  </si>
  <si>
    <t>2687151156072176</t>
  </si>
  <si>
    <t>8396070865256367</t>
  </si>
  <si>
    <t>7811226760659458</t>
  </si>
  <si>
    <t>8931476917764252</t>
  </si>
  <si>
    <t>7470185972436565</t>
  </si>
  <si>
    <t>3987555670876067</t>
  </si>
  <si>
    <t>0276875858081043</t>
  </si>
  <si>
    <t>2157235246344851</t>
  </si>
  <si>
    <t>5463896097930286</t>
  </si>
  <si>
    <t>3709366882203510</t>
  </si>
  <si>
    <t>9566968463627818</t>
  </si>
  <si>
    <t>6572413797432705</t>
  </si>
  <si>
    <t>6778062267915434</t>
  </si>
  <si>
    <t>7632989353813468</t>
  </si>
  <si>
    <t>0401781827146696</t>
  </si>
  <si>
    <t>4814530958285528</t>
  </si>
  <si>
    <t>2037138656505126</t>
  </si>
  <si>
    <t>9909781137761566</t>
  </si>
  <si>
    <t>9150676423324570</t>
  </si>
  <si>
    <t>0862128421822029</t>
  </si>
  <si>
    <t>6269589232309481</t>
  </si>
  <si>
    <t>8772897191764846</t>
  </si>
  <si>
    <t>6117521938359191</t>
  </si>
  <si>
    <t>1694357689521325</t>
  </si>
  <si>
    <t>2397467768568789</t>
  </si>
  <si>
    <t>6039363290980377</t>
  </si>
  <si>
    <t>9102537174341124</t>
  </si>
  <si>
    <t>0479328565315323</t>
  </si>
  <si>
    <t>3614719523071346</t>
  </si>
  <si>
    <t>4408426624920777</t>
  </si>
  <si>
    <t>2652096274935257</t>
  </si>
  <si>
    <t>0632466103119717</t>
  </si>
  <si>
    <t>7981767132550865</t>
  </si>
  <si>
    <t>6035325127218259</t>
  </si>
  <si>
    <t>1643182583675697</t>
  </si>
  <si>
    <t>4589538786122835</t>
  </si>
  <si>
    <t>1000421269794978</t>
  </si>
  <si>
    <t>4423857925636075</t>
  </si>
  <si>
    <t>8824414879438328</t>
  </si>
  <si>
    <t>6042535120852563</t>
  </si>
  <si>
    <t>6531918176996140</t>
  </si>
  <si>
    <t>7534568620513452</t>
  </si>
  <si>
    <t>2988035183471884</t>
  </si>
  <si>
    <t>0725264483289490</t>
  </si>
  <si>
    <t>4115408477363037</t>
  </si>
  <si>
    <t>5584088735914000</t>
  </si>
  <si>
    <t>9983215733138818</t>
  </si>
  <si>
    <t>2335117050837402</t>
  </si>
  <si>
    <t>0541265837989630</t>
  </si>
  <si>
    <t>2052625339933923</t>
  </si>
  <si>
    <t>2595907688188932</t>
  </si>
  <si>
    <t>5668360379691532</t>
  </si>
  <si>
    <t>7987498703030886</t>
  </si>
  <si>
    <t>9724817907885160</t>
  </si>
  <si>
    <t>6936858563360585</t>
  </si>
  <si>
    <t>4137702491476582</t>
  </si>
  <si>
    <t>6241342477178260</t>
  </si>
  <si>
    <t>6147833388151142</t>
  </si>
  <si>
    <t>7827803788396090</t>
  </si>
  <si>
    <t>4014154892739732</t>
  </si>
  <si>
    <t>2030324853168576</t>
  </si>
  <si>
    <t>4858736529345443</t>
  </si>
  <si>
    <t>9288463102290233</t>
  </si>
  <si>
    <t>3948761620545869</t>
  </si>
  <si>
    <t>2062273200068278</t>
  </si>
  <si>
    <t>9491969457974049</t>
  </si>
  <si>
    <t>0304145980393351</t>
  </si>
  <si>
    <t>6449097573503569</t>
  </si>
  <si>
    <t>4440704881705535</t>
  </si>
  <si>
    <t>0007159358832094</t>
  </si>
  <si>
    <t>0696115325326037</t>
  </si>
  <si>
    <t>3838715286113303</t>
  </si>
  <si>
    <t>5177847110839526</t>
  </si>
  <si>
    <t>6418755915587503</t>
  </si>
  <si>
    <t>3720552960556910</t>
  </si>
  <si>
    <t>7728322991663255</t>
  </si>
  <si>
    <t>3976536342645435</t>
  </si>
  <si>
    <t>4689042533972952</t>
  </si>
  <si>
    <t>9377516241019541</t>
  </si>
  <si>
    <t>0596139591685299</t>
  </si>
  <si>
    <t>7985376564328747</t>
  </si>
  <si>
    <t>6113735788574796</t>
  </si>
  <si>
    <t>4091113925178732</t>
  </si>
  <si>
    <t>6054769265390559</t>
  </si>
  <si>
    <t>858</t>
  </si>
  <si>
    <t>577</t>
  </si>
  <si>
    <t>938</t>
  </si>
  <si>
    <t>651</t>
  </si>
  <si>
    <t>558</t>
  </si>
  <si>
    <t>184</t>
  </si>
  <si>
    <t>572</t>
  </si>
  <si>
    <t>963</t>
  </si>
  <si>
    <t>269</t>
  </si>
  <si>
    <t>813</t>
  </si>
  <si>
    <t>293</t>
  </si>
  <si>
    <t>799</t>
  </si>
  <si>
    <t>757</t>
  </si>
  <si>
    <t>142</t>
  </si>
  <si>
    <t>719</t>
  </si>
  <si>
    <t>228</t>
  </si>
  <si>
    <t>926</t>
  </si>
  <si>
    <t>619</t>
  </si>
  <si>
    <t>460</t>
  </si>
  <si>
    <t>459</t>
  </si>
  <si>
    <t>636</t>
  </si>
  <si>
    <t>314</t>
  </si>
  <si>
    <t>548</t>
  </si>
  <si>
    <t>385</t>
  </si>
  <si>
    <t>608</t>
  </si>
  <si>
    <t>013</t>
  </si>
  <si>
    <t>063</t>
  </si>
  <si>
    <t>991</t>
  </si>
  <si>
    <t>169</t>
  </si>
  <si>
    <t>249</t>
  </si>
  <si>
    <t>111</t>
  </si>
  <si>
    <t>398</t>
  </si>
  <si>
    <t>275</t>
  </si>
  <si>
    <t>403</t>
  </si>
  <si>
    <t>458</t>
  </si>
  <si>
    <t>409</t>
  </si>
  <si>
    <t>321</t>
  </si>
  <si>
    <t>976</t>
  </si>
  <si>
    <t>888</t>
  </si>
  <si>
    <t>625</t>
  </si>
  <si>
    <t>870</t>
  </si>
  <si>
    <t>756</t>
  </si>
  <si>
    <t>840</t>
  </si>
  <si>
    <t>125</t>
  </si>
  <si>
    <t>260</t>
  </si>
  <si>
    <t>895</t>
  </si>
  <si>
    <t>448</t>
  </si>
  <si>
    <t>017</t>
  </si>
  <si>
    <t>325</t>
  </si>
  <si>
    <t>189</t>
  </si>
  <si>
    <t>713</t>
  </si>
  <si>
    <t>778</t>
  </si>
  <si>
    <t>589</t>
  </si>
  <si>
    <t>502</t>
  </si>
  <si>
    <t>012</t>
  </si>
  <si>
    <t>949</t>
  </si>
  <si>
    <t>718</t>
  </si>
  <si>
    <t>268</t>
  </si>
  <si>
    <t>235</t>
  </si>
  <si>
    <t>673</t>
  </si>
  <si>
    <t>447</t>
  </si>
  <si>
    <t>345</t>
  </si>
  <si>
    <t>613</t>
  </si>
  <si>
    <t>717</t>
  </si>
  <si>
    <t>841</t>
  </si>
  <si>
    <t>592</t>
  </si>
  <si>
    <t>305</t>
  </si>
  <si>
    <t>650</t>
  </si>
  <si>
    <t>642</t>
  </si>
  <si>
    <t>878</t>
  </si>
  <si>
    <t>593</t>
  </si>
  <si>
    <t>139</t>
  </si>
  <si>
    <t>280</t>
  </si>
  <si>
    <t>021</t>
  </si>
  <si>
    <t>829</t>
  </si>
  <si>
    <t>714</t>
  </si>
  <si>
    <t>096</t>
  </si>
  <si>
    <t>432</t>
  </si>
  <si>
    <t>987</t>
  </si>
  <si>
    <t>850</t>
  </si>
  <si>
    <t>195</t>
  </si>
  <si>
    <t>467</t>
  </si>
  <si>
    <t>945</t>
  </si>
  <si>
    <t>699</t>
  </si>
  <si>
    <t>544</t>
  </si>
  <si>
    <t>662</t>
  </si>
  <si>
    <t>192</t>
  </si>
  <si>
    <t>843</t>
  </si>
  <si>
    <t>308</t>
  </si>
  <si>
    <t>380</t>
  </si>
  <si>
    <t>067</t>
  </si>
  <si>
    <t>598</t>
  </si>
  <si>
    <t>528</t>
  </si>
  <si>
    <t>024</t>
  </si>
  <si>
    <t>599</t>
  </si>
  <si>
    <t>902</t>
  </si>
  <si>
    <t>008</t>
  </si>
  <si>
    <t>838</t>
  </si>
  <si>
    <t>501</t>
  </si>
  <si>
    <t>736</t>
  </si>
  <si>
    <t>629</t>
  </si>
  <si>
    <t>665</t>
  </si>
  <si>
    <t>393</t>
  </si>
  <si>
    <t>892</t>
  </si>
  <si>
    <t>498</t>
  </si>
  <si>
    <t>505</t>
  </si>
  <si>
    <t>875</t>
  </si>
  <si>
    <t>353</t>
  </si>
  <si>
    <t>702</t>
  </si>
  <si>
    <t>824</t>
  </si>
  <si>
    <t>995</t>
  </si>
  <si>
    <t>647</t>
  </si>
  <si>
    <t>020</t>
  </si>
  <si>
    <t>397</t>
  </si>
  <si>
    <t>985</t>
  </si>
  <si>
    <t>705</t>
  </si>
  <si>
    <t>442</t>
  </si>
  <si>
    <t>530</t>
  </si>
  <si>
    <t>752</t>
  </si>
  <si>
    <t>857</t>
  </si>
  <si>
    <t>352</t>
  </si>
  <si>
    <t>646</t>
  </si>
  <si>
    <t>490</t>
  </si>
  <si>
    <t>287</t>
  </si>
  <si>
    <t>832</t>
  </si>
  <si>
    <t>495</t>
  </si>
  <si>
    <t>783</t>
  </si>
  <si>
    <t>266</t>
  </si>
  <si>
    <t>755</t>
  </si>
  <si>
    <t>462</t>
  </si>
  <si>
    <t>391</t>
  </si>
  <si>
    <t>579</t>
  </si>
  <si>
    <t>955</t>
  </si>
  <si>
    <t>106</t>
  </si>
  <si>
    <t>434</t>
  </si>
  <si>
    <t>837</t>
  </si>
  <si>
    <t>113</t>
  </si>
  <si>
    <t>769</t>
  </si>
  <si>
    <t>477</t>
  </si>
  <si>
    <t>689</t>
  </si>
  <si>
    <t>779</t>
  </si>
  <si>
    <t>206</t>
  </si>
  <si>
    <t>951</t>
  </si>
  <si>
    <t>429</t>
  </si>
  <si>
    <t>292</t>
  </si>
  <si>
    <t>554</t>
  </si>
  <si>
    <t>649</t>
  </si>
  <si>
    <t>143</t>
  </si>
  <si>
    <t>246</t>
  </si>
  <si>
    <t>835</t>
  </si>
  <si>
    <t>601</t>
  </si>
  <si>
    <t>412</t>
  </si>
  <si>
    <t>611</t>
  </si>
  <si>
    <t>145</t>
  </si>
  <si>
    <t>561</t>
  </si>
  <si>
    <t>817</t>
  </si>
  <si>
    <t>215</t>
  </si>
  <si>
    <t>037</t>
  </si>
  <si>
    <t>075</t>
  </si>
  <si>
    <t>741</t>
  </si>
  <si>
    <t>701</t>
  </si>
  <si>
    <t>029</t>
  </si>
  <si>
    <t>874</t>
  </si>
  <si>
    <t>277</t>
  </si>
  <si>
    <t>123</t>
  </si>
  <si>
    <t>081</t>
  </si>
  <si>
    <t>368</t>
  </si>
  <si>
    <t>708</t>
  </si>
  <si>
    <t>207</t>
  </si>
  <si>
    <t>120</t>
  </si>
  <si>
    <t>335</t>
  </si>
  <si>
    <t>484</t>
  </si>
  <si>
    <t>573</t>
  </si>
  <si>
    <t>223</t>
  </si>
  <si>
    <t>332</t>
  </si>
  <si>
    <t>267</t>
  </si>
  <si>
    <t>726</t>
  </si>
  <si>
    <t>883</t>
  </si>
  <si>
    <t>417</t>
  </si>
  <si>
    <t>728</t>
  </si>
  <si>
    <t>587</t>
  </si>
  <si>
    <t>937</t>
  </si>
  <si>
    <t>330</t>
  </si>
  <si>
    <t>161</t>
  </si>
  <si>
    <t>546</t>
  </si>
  <si>
    <t>758</t>
  </si>
  <si>
    <t>981</t>
  </si>
  <si>
    <t>424</t>
  </si>
  <si>
    <t>694</t>
  </si>
  <si>
    <t>939</t>
  </si>
  <si>
    <t>816</t>
  </si>
  <si>
    <t>104</t>
  </si>
  <si>
    <t>475</t>
  </si>
  <si>
    <t>054</t>
  </si>
  <si>
    <t>512</t>
  </si>
  <si>
    <t>227</t>
  </si>
  <si>
    <t>851</t>
  </si>
  <si>
    <t>606</t>
  </si>
  <si>
    <t>171</t>
  </si>
  <si>
    <t>034</t>
  </si>
  <si>
    <t>199</t>
  </si>
  <si>
    <t>234</t>
  </si>
  <si>
    <t>082</t>
  </si>
  <si>
    <t>245</t>
  </si>
  <si>
    <t>042</t>
  </si>
  <si>
    <t>855</t>
  </si>
  <si>
    <t>845</t>
  </si>
  <si>
    <t>115</t>
  </si>
  <si>
    <t>628</t>
  </si>
  <si>
    <t>693</t>
  </si>
  <si>
    <t>670</t>
  </si>
  <si>
    <t>414</t>
  </si>
  <si>
    <t>691</t>
  </si>
  <si>
    <t>363</t>
  </si>
  <si>
    <t>004</t>
  </si>
  <si>
    <t>039</t>
  </si>
  <si>
    <t>313</t>
  </si>
  <si>
    <t>653</t>
  </si>
  <si>
    <t>337</t>
  </si>
  <si>
    <t>091</t>
  </si>
  <si>
    <t>036</t>
  </si>
  <si>
    <t>615</t>
  </si>
  <si>
    <t>167</t>
  </si>
  <si>
    <t>271</t>
  </si>
  <si>
    <t>807</t>
  </si>
  <si>
    <t>032</t>
  </si>
  <si>
    <t>463</t>
  </si>
  <si>
    <t>318</t>
  </si>
  <si>
    <t>507</t>
  </si>
  <si>
    <t>676</t>
  </si>
  <si>
    <t>057</t>
  </si>
  <si>
    <t>575</t>
  </si>
  <si>
    <t>180</t>
  </si>
  <si>
    <t>126</t>
  </si>
  <si>
    <t>216</t>
  </si>
  <si>
    <t>865</t>
  </si>
  <si>
    <t>473</t>
  </si>
  <si>
    <t>069</t>
  </si>
  <si>
    <t>211</t>
  </si>
  <si>
    <t>788</t>
  </si>
  <si>
    <t>451</t>
  </si>
  <si>
    <t>428</t>
  </si>
  <si>
    <t>270</t>
  </si>
  <si>
    <t>994</t>
  </si>
  <si>
    <t>916</t>
  </si>
  <si>
    <t>856</t>
  </si>
  <si>
    <t>617</t>
  </si>
  <si>
    <t>388</t>
  </si>
  <si>
    <t>509</t>
  </si>
  <si>
    <t>id_credit</t>
  </si>
  <si>
    <t>suma_credit</t>
  </si>
  <si>
    <t>rata_lunara</t>
  </si>
  <si>
    <t>data_acordarii</t>
  </si>
  <si>
    <t>data_scadentei</t>
  </si>
  <si>
    <t>Verificare acuratețe rată lunară</t>
  </si>
  <si>
    <t>Verificare acuratețe data scandenței</t>
  </si>
  <si>
    <t xml:space="preserve">Verif. completitudine telefon </t>
  </si>
  <si>
    <t>Verificare completitudine cvv</t>
  </si>
  <si>
    <t>Verif. completitudine id_client</t>
  </si>
  <si>
    <t>Verif. acuratețe sold</t>
  </si>
  <si>
    <t>Verif. acuratețe tranzacție</t>
  </si>
  <si>
    <t>Verif. completitudine id_cont_destinatie</t>
  </si>
  <si>
    <t>CheckData</t>
  </si>
  <si>
    <t>Validitate CNP</t>
  </si>
  <si>
    <t>Validitate telefon</t>
  </si>
  <si>
    <t>Validitate număr card</t>
  </si>
  <si>
    <t>Validitate cvv</t>
  </si>
  <si>
    <t>Consistență id_client</t>
  </si>
  <si>
    <t>Consistență id_cont_sursa</t>
  </si>
  <si>
    <t>Consistență id_cont_destinatie</t>
  </si>
  <si>
    <t xml:space="preserve">Consistență id_client </t>
  </si>
  <si>
    <t>date preluate din Tabelul Conturi</t>
  </si>
  <si>
    <t>min sold =</t>
  </si>
  <si>
    <t>max sold =</t>
  </si>
  <si>
    <t xml:space="preserve">media sold = </t>
  </si>
  <si>
    <t>mediana sold =</t>
  </si>
  <si>
    <t xml:space="preserve">sd sold = </t>
  </si>
  <si>
    <t>Q1 =</t>
  </si>
  <si>
    <t>Q3 =</t>
  </si>
  <si>
    <t>IQR =</t>
  </si>
  <si>
    <t>Limita inf. =</t>
  </si>
  <si>
    <t>Limita sup. =</t>
  </si>
  <si>
    <t>nr. cont. ecom. =</t>
  </si>
  <si>
    <t>nr.conturi curente =</t>
  </si>
  <si>
    <t xml:space="preserve"> Verif. OUTLIER</t>
  </si>
  <si>
    <t>Verif. OUTLIER</t>
  </si>
  <si>
    <t>min tranzacție =</t>
  </si>
  <si>
    <t>max tranzacție =</t>
  </si>
  <si>
    <t>media tranz. =</t>
  </si>
  <si>
    <t>mediana tranz. =</t>
  </si>
  <si>
    <t>sd tranz. =</t>
  </si>
  <si>
    <t>nr. Retrageri =</t>
  </si>
  <si>
    <t>nr. Depuneri =</t>
  </si>
  <si>
    <t>nr. Transferuri =</t>
  </si>
  <si>
    <t>total =</t>
  </si>
  <si>
    <t xml:space="preserve">total = </t>
  </si>
  <si>
    <t xml:space="preserve">min sumă credit = </t>
  </si>
  <si>
    <t xml:space="preserve">max sumă credit = </t>
  </si>
  <si>
    <t>media sumă credit =</t>
  </si>
  <si>
    <t>mediana sumă credit =</t>
  </si>
  <si>
    <t>sd. sumă credit =</t>
  </si>
  <si>
    <t>Limită inf. =</t>
  </si>
  <si>
    <t>Limită sup. =</t>
  </si>
  <si>
    <t xml:space="preserve">min rată = </t>
  </si>
  <si>
    <t xml:space="preserve">max rată = </t>
  </si>
  <si>
    <t>media rată =</t>
  </si>
  <si>
    <t>mediana rată =</t>
  </si>
  <si>
    <t>sd. rată =</t>
  </si>
  <si>
    <t>Verif. OUTLIER rată</t>
  </si>
  <si>
    <t>Verif. OUTLIER sumă_credit</t>
  </si>
  <si>
    <t>Row Labels</t>
  </si>
  <si>
    <t>Grand Total</t>
  </si>
  <si>
    <t>Sum of sold</t>
  </si>
  <si>
    <t>Sum of suma</t>
  </si>
  <si>
    <t>Values</t>
  </si>
  <si>
    <t>Sum of suma_credit</t>
  </si>
  <si>
    <t>Sum of rata_lunara</t>
  </si>
  <si>
    <t>Count of id_client</t>
  </si>
  <si>
    <t>Sold total: 4.526.707</t>
  </si>
  <si>
    <t>Suma totală a creditelor: 3.432.937</t>
  </si>
  <si>
    <t>Rata lunară totală: 118.973</t>
  </si>
  <si>
    <t>Scenariu</t>
  </si>
  <si>
    <t>Sold total</t>
  </si>
  <si>
    <t>Suma totală credite</t>
  </si>
  <si>
    <t>Rată lunară totală</t>
  </si>
  <si>
    <t>Actual</t>
  </si>
  <si>
    <t>4.526.707</t>
  </si>
  <si>
    <t>3.432.937</t>
  </si>
  <si>
    <t>Optimist</t>
  </si>
  <si>
    <t>4.979.378</t>
  </si>
  <si>
    <t>Pesimist</t>
  </si>
  <si>
    <t>4.074.037</t>
  </si>
  <si>
    <t>3.604.584</t>
  </si>
  <si>
    <t>Matricea decizională</t>
  </si>
  <si>
    <t>Scor_Performanță</t>
  </si>
  <si>
    <t>Rank</t>
  </si>
  <si>
    <t>Metoda TOPSIS și clasamentul final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</si>
</sst>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2" fillId="2" borderId="2" applyNumberFormat="0" applyFont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3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1" fillId="0" borderId="0" xfId="0" applyFont="1"/>
    <xf numFmtId="0" fontId="0" fillId="0" borderId="0" xfId="0" applyFont="1"/>
    <xf numFmtId="0" fontId="0" fillId="2" borderId="2" xfId="1" applyFont="1"/>
    <xf numFmtId="0" fontId="3" fillId="2" borderId="2" xfId="1" applyFont="1" applyAlignment="1">
      <alignment horizontal="left" vertical="top"/>
    </xf>
    <xf numFmtId="0" fontId="3" fillId="2" borderId="2" xfId="1" applyFont="1"/>
    <xf numFmtId="0" fontId="1" fillId="0" borderId="4" xfId="0" applyFont="1" applyFill="1" applyBorder="1" applyAlignment="1">
      <alignment horizontal="center" vertical="top"/>
    </xf>
    <xf numFmtId="0" fontId="3" fillId="2" borderId="5" xfId="1" applyFont="1" applyBorder="1"/>
    <xf numFmtId="0" fontId="2" fillId="5" borderId="1" xfId="4" applyBorder="1" applyAlignment="1" applyProtection="1"/>
    <xf numFmtId="0" fontId="1" fillId="0" borderId="6" xfId="0" applyFont="1" applyFill="1" applyBorder="1" applyAlignment="1">
      <alignment horizontal="center" vertical="top"/>
    </xf>
    <xf numFmtId="0" fontId="2" fillId="4" borderId="1" xfId="3" applyBorder="1" applyAlignment="1">
      <alignment horizontal="left" vertical="top"/>
    </xf>
    <xf numFmtId="0" fontId="2" fillId="4" borderId="1" xfId="3" applyBorder="1"/>
    <xf numFmtId="0" fontId="2" fillId="3" borderId="1" xfId="2" applyBorder="1" applyAlignment="1">
      <alignment horizontal="left" vertical="top"/>
    </xf>
    <xf numFmtId="0" fontId="2" fillId="3" borderId="1" xfId="2" applyBorder="1"/>
    <xf numFmtId="0" fontId="0" fillId="4" borderId="1" xfId="3" applyFont="1" applyBorder="1"/>
    <xf numFmtId="0" fontId="0" fillId="3" borderId="1" xfId="2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/>
  </cellXfs>
  <cellStyles count="5">
    <cellStyle name="20% - Accent3" xfId="2" builtinId="38"/>
    <cellStyle name="20% - Accent4" xfId="3" builtinId="42"/>
    <cellStyle name="20% - Accent5" xfId="4" builtinId="46"/>
    <cellStyle name="Normal" xfId="0" builtinId="0"/>
    <cellStyle name="Note" xfId="1" builtinId="10"/>
  </cellStyles>
  <dxfs count="11"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7"/>
  <c:pivotSource>
    <c:name>[SSD_Banca_PROIECT.xlsx]PivotTable!PivotTable4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600" b="1" i="0" u="none" strike="noStrike" baseline="0"/>
              <a:t>Distribuția soldurilor pe tipuri de cont</a:t>
            </a:r>
            <a:endParaRPr lang="en-US" sz="1600"/>
          </a:p>
        </c:rich>
      </c:tx>
      <c:layout>
        <c:manualLayout>
          <c:xMode val="edge"/>
          <c:yMode val="edge"/>
          <c:x val="0.19291666666666665"/>
          <c:y val="2.3148148148148147E-2"/>
        </c:manualLayout>
      </c:layout>
    </c:title>
    <c:pivotFmts>
      <c:pivotFmt>
        <c:idx val="0"/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PivotTable!$C$3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PivotTable!$B$4:$B$6</c:f>
              <c:strCache>
                <c:ptCount val="2"/>
                <c:pt idx="0">
                  <c:v>curent</c:v>
                </c:pt>
                <c:pt idx="1">
                  <c:v>economii</c:v>
                </c:pt>
              </c:strCache>
            </c:strRef>
          </c:cat>
          <c:val>
            <c:numRef>
              <c:f>PivotTable!$C$4:$C$6</c:f>
              <c:numCache>
                <c:formatCode>General</c:formatCode>
                <c:ptCount val="2"/>
                <c:pt idx="0">
                  <c:v>2126745.0799999991</c:v>
                </c:pt>
                <c:pt idx="1">
                  <c:v>2399962.4000000008</c:v>
                </c:pt>
              </c:numCache>
            </c:numRef>
          </c:val>
        </c:ser>
        <c:axId val="107086592"/>
        <c:axId val="40649088"/>
      </c:barChart>
      <c:catAx>
        <c:axId val="107086592"/>
        <c:scaling>
          <c:orientation val="minMax"/>
        </c:scaling>
        <c:axPos val="b"/>
        <c:tickLblPos val="nextTo"/>
        <c:crossAx val="40649088"/>
        <c:crosses val="autoZero"/>
        <c:auto val="1"/>
        <c:lblAlgn val="ctr"/>
        <c:lblOffset val="100"/>
      </c:catAx>
      <c:valAx>
        <c:axId val="40649088"/>
        <c:scaling>
          <c:orientation val="minMax"/>
        </c:scaling>
        <c:axPos val="l"/>
        <c:majorGridlines/>
        <c:numFmt formatCode="General" sourceLinked="1"/>
        <c:tickLblPos val="nextTo"/>
        <c:crossAx val="1070865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pivotSource>
    <c:name>[SSD_Banca_PROIECT.xlsx]PivotTable!PivotTable6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Analiza tranzacțiilor</a:t>
            </a:r>
          </a:p>
        </c:rich>
      </c:tx>
      <c:layout/>
    </c:title>
    <c:pivotFmts>
      <c:pivotFmt>
        <c:idx val="0"/>
        <c:dLbl>
          <c:idx val="0"/>
          <c:layout/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PivotTable!$C$25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PivotTable!$B$26:$B$29</c:f>
              <c:strCache>
                <c:ptCount val="3"/>
                <c:pt idx="0">
                  <c:v>depunere</c:v>
                </c:pt>
                <c:pt idx="1">
                  <c:v>retragere</c:v>
                </c:pt>
                <c:pt idx="2">
                  <c:v>transfer</c:v>
                </c:pt>
              </c:strCache>
            </c:strRef>
          </c:cat>
          <c:val>
            <c:numRef>
              <c:f>PivotTable!$C$26:$C$29</c:f>
              <c:numCache>
                <c:formatCode>General</c:formatCode>
                <c:ptCount val="3"/>
                <c:pt idx="0">
                  <c:v>495869.41999999952</c:v>
                </c:pt>
                <c:pt idx="1">
                  <c:v>483425.51000000018</c:v>
                </c:pt>
                <c:pt idx="2">
                  <c:v>524234.06000000041</c:v>
                </c:pt>
              </c:numCache>
            </c:numRef>
          </c:val>
        </c:ser>
        <c:axId val="95668864"/>
        <c:axId val="117274496"/>
      </c:barChart>
      <c:catAx>
        <c:axId val="95668864"/>
        <c:scaling>
          <c:orientation val="minMax"/>
        </c:scaling>
        <c:axPos val="b"/>
        <c:tickLblPos val="nextTo"/>
        <c:crossAx val="117274496"/>
        <c:crosses val="autoZero"/>
        <c:auto val="1"/>
        <c:lblAlgn val="ctr"/>
        <c:lblOffset val="100"/>
      </c:catAx>
      <c:valAx>
        <c:axId val="117274496"/>
        <c:scaling>
          <c:orientation val="minMax"/>
        </c:scaling>
        <c:axPos val="l"/>
        <c:majorGridlines/>
        <c:numFmt formatCode="General" sourceLinked="1"/>
        <c:tickLblPos val="nextTo"/>
        <c:crossAx val="9566886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[SSD_Banca_PROIECT.xlsx]PivotTable!PivotTable7</c:name>
    <c:fmtId val="0"/>
  </c:pivotSource>
  <c:chart>
    <c:pivotFmts>
      <c:pivotFmt>
        <c:idx val="0"/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stacked"/>
        <c:ser>
          <c:idx val="0"/>
          <c:order val="0"/>
          <c:tx>
            <c:strRef>
              <c:f>PivotTable!$Q$3:$Q$4</c:f>
              <c:strCache>
                <c:ptCount val="1"/>
                <c:pt idx="0">
                  <c:v>Sum of suma_credit</c:v>
                </c:pt>
              </c:strCache>
            </c:strRef>
          </c:tx>
          <c:cat>
            <c:strRef>
              <c:f>PivotTable!$P$5:$P$81</c:f>
              <c:strCache>
                <c:ptCount val="7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9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28</c:v>
                </c:pt>
                <c:pt idx="21">
                  <c:v>32</c:v>
                </c:pt>
                <c:pt idx="22">
                  <c:v>33</c:v>
                </c:pt>
                <c:pt idx="23">
                  <c:v>34</c:v>
                </c:pt>
                <c:pt idx="24">
                  <c:v>36</c:v>
                </c:pt>
                <c:pt idx="25">
                  <c:v>37</c:v>
                </c:pt>
                <c:pt idx="26">
                  <c:v>39</c:v>
                </c:pt>
                <c:pt idx="27">
                  <c:v>40</c:v>
                </c:pt>
                <c:pt idx="28">
                  <c:v>41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51</c:v>
                </c:pt>
                <c:pt idx="37">
                  <c:v>52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61</c:v>
                </c:pt>
                <c:pt idx="45">
                  <c:v>62</c:v>
                </c:pt>
                <c:pt idx="46">
                  <c:v>64</c:v>
                </c:pt>
                <c:pt idx="47">
                  <c:v>66</c:v>
                </c:pt>
                <c:pt idx="48">
                  <c:v>68</c:v>
                </c:pt>
                <c:pt idx="49">
                  <c:v>69</c:v>
                </c:pt>
                <c:pt idx="50">
                  <c:v>71</c:v>
                </c:pt>
                <c:pt idx="51">
                  <c:v>72</c:v>
                </c:pt>
                <c:pt idx="52">
                  <c:v>73</c:v>
                </c:pt>
                <c:pt idx="53">
                  <c:v>74</c:v>
                </c:pt>
                <c:pt idx="54">
                  <c:v>76</c:v>
                </c:pt>
                <c:pt idx="55">
                  <c:v>77</c:v>
                </c:pt>
                <c:pt idx="56">
                  <c:v>78</c:v>
                </c:pt>
                <c:pt idx="57">
                  <c:v>79</c:v>
                </c:pt>
                <c:pt idx="58">
                  <c:v>80</c:v>
                </c:pt>
                <c:pt idx="59">
                  <c:v>83</c:v>
                </c:pt>
                <c:pt idx="60">
                  <c:v>84</c:v>
                </c:pt>
                <c:pt idx="61">
                  <c:v>85</c:v>
                </c:pt>
                <c:pt idx="62">
                  <c:v>86</c:v>
                </c:pt>
                <c:pt idx="63">
                  <c:v>87</c:v>
                </c:pt>
                <c:pt idx="64">
                  <c:v>88</c:v>
                </c:pt>
                <c:pt idx="65">
                  <c:v>89</c:v>
                </c:pt>
                <c:pt idx="66">
                  <c:v>90</c:v>
                </c:pt>
                <c:pt idx="67">
                  <c:v>91</c:v>
                </c:pt>
                <c:pt idx="68">
                  <c:v>92</c:v>
                </c:pt>
                <c:pt idx="69">
                  <c:v>93</c:v>
                </c:pt>
                <c:pt idx="70">
                  <c:v>94</c:v>
                </c:pt>
                <c:pt idx="71">
                  <c:v>95</c:v>
                </c:pt>
                <c:pt idx="72">
                  <c:v>96</c:v>
                </c:pt>
                <c:pt idx="73">
                  <c:v>98</c:v>
                </c:pt>
                <c:pt idx="74">
                  <c:v>99</c:v>
                </c:pt>
                <c:pt idx="75">
                  <c:v>100</c:v>
                </c:pt>
              </c:strCache>
            </c:strRef>
          </c:cat>
          <c:val>
            <c:numRef>
              <c:f>PivotTable!$Q$5:$Q$81</c:f>
              <c:numCache>
                <c:formatCode>General</c:formatCode>
                <c:ptCount val="76"/>
                <c:pt idx="0">
                  <c:v>32875.4</c:v>
                </c:pt>
                <c:pt idx="1">
                  <c:v>30066.74</c:v>
                </c:pt>
                <c:pt idx="2">
                  <c:v>25006.42</c:v>
                </c:pt>
                <c:pt idx="3">
                  <c:v>20855.239999999998</c:v>
                </c:pt>
                <c:pt idx="4">
                  <c:v>35541.910000000003</c:v>
                </c:pt>
                <c:pt idx="5">
                  <c:v>48347.13</c:v>
                </c:pt>
                <c:pt idx="6">
                  <c:v>41097.340000000004</c:v>
                </c:pt>
                <c:pt idx="7">
                  <c:v>48202.63</c:v>
                </c:pt>
                <c:pt idx="8">
                  <c:v>14580.01</c:v>
                </c:pt>
                <c:pt idx="9">
                  <c:v>20066.259999999998</c:v>
                </c:pt>
                <c:pt idx="10">
                  <c:v>6434.86</c:v>
                </c:pt>
                <c:pt idx="11">
                  <c:v>23247.52</c:v>
                </c:pt>
                <c:pt idx="12">
                  <c:v>61243.009999999995</c:v>
                </c:pt>
                <c:pt idx="13">
                  <c:v>59727.75</c:v>
                </c:pt>
                <c:pt idx="14">
                  <c:v>45881.85</c:v>
                </c:pt>
                <c:pt idx="15">
                  <c:v>31083.07</c:v>
                </c:pt>
                <c:pt idx="16">
                  <c:v>14042.69</c:v>
                </c:pt>
                <c:pt idx="17">
                  <c:v>29379.72</c:v>
                </c:pt>
                <c:pt idx="18">
                  <c:v>50657.93</c:v>
                </c:pt>
                <c:pt idx="19">
                  <c:v>10460.450000000001</c:v>
                </c:pt>
                <c:pt idx="20">
                  <c:v>54650.409999999996</c:v>
                </c:pt>
                <c:pt idx="21">
                  <c:v>22060.66</c:v>
                </c:pt>
                <c:pt idx="22">
                  <c:v>107784.69999999998</c:v>
                </c:pt>
                <c:pt idx="23">
                  <c:v>75431.62</c:v>
                </c:pt>
                <c:pt idx="24">
                  <c:v>67945.45</c:v>
                </c:pt>
                <c:pt idx="25">
                  <c:v>55573.460000000006</c:v>
                </c:pt>
                <c:pt idx="26">
                  <c:v>74644.209999999992</c:v>
                </c:pt>
                <c:pt idx="27">
                  <c:v>56148.060000000005</c:v>
                </c:pt>
                <c:pt idx="28">
                  <c:v>8261.2199999999993</c:v>
                </c:pt>
                <c:pt idx="29">
                  <c:v>35365.75</c:v>
                </c:pt>
                <c:pt idx="30">
                  <c:v>48651.56</c:v>
                </c:pt>
                <c:pt idx="31">
                  <c:v>54505.86</c:v>
                </c:pt>
                <c:pt idx="32">
                  <c:v>50662.97</c:v>
                </c:pt>
                <c:pt idx="33">
                  <c:v>24177.809999999998</c:v>
                </c:pt>
                <c:pt idx="34">
                  <c:v>75332.23000000001</c:v>
                </c:pt>
                <c:pt idx="35">
                  <c:v>36862.26</c:v>
                </c:pt>
                <c:pt idx="36">
                  <c:v>23235.16</c:v>
                </c:pt>
                <c:pt idx="37">
                  <c:v>81732.320000000007</c:v>
                </c:pt>
                <c:pt idx="38">
                  <c:v>63820.47</c:v>
                </c:pt>
                <c:pt idx="39">
                  <c:v>10604.24</c:v>
                </c:pt>
                <c:pt idx="40">
                  <c:v>62510.47</c:v>
                </c:pt>
                <c:pt idx="41">
                  <c:v>87501.540000000008</c:v>
                </c:pt>
                <c:pt idx="42">
                  <c:v>40891.879999999997</c:v>
                </c:pt>
                <c:pt idx="43">
                  <c:v>86991.65</c:v>
                </c:pt>
                <c:pt idx="44">
                  <c:v>31030.67</c:v>
                </c:pt>
                <c:pt idx="45">
                  <c:v>77201.58</c:v>
                </c:pt>
                <c:pt idx="46">
                  <c:v>48560.350000000006</c:v>
                </c:pt>
                <c:pt idx="47">
                  <c:v>60099.24</c:v>
                </c:pt>
                <c:pt idx="48">
                  <c:v>37440.15</c:v>
                </c:pt>
                <c:pt idx="49">
                  <c:v>12998.76</c:v>
                </c:pt>
                <c:pt idx="50">
                  <c:v>19675.12</c:v>
                </c:pt>
                <c:pt idx="51">
                  <c:v>62625.600000000006</c:v>
                </c:pt>
                <c:pt idx="52">
                  <c:v>4981.71</c:v>
                </c:pt>
                <c:pt idx="53">
                  <c:v>37153.379999999997</c:v>
                </c:pt>
                <c:pt idx="54">
                  <c:v>10793.71</c:v>
                </c:pt>
                <c:pt idx="55">
                  <c:v>12177.74</c:v>
                </c:pt>
                <c:pt idx="56">
                  <c:v>1090.77</c:v>
                </c:pt>
                <c:pt idx="57">
                  <c:v>26837.96</c:v>
                </c:pt>
                <c:pt idx="58">
                  <c:v>24739.599999999999</c:v>
                </c:pt>
                <c:pt idx="59">
                  <c:v>67084.63</c:v>
                </c:pt>
                <c:pt idx="60">
                  <c:v>56603.59</c:v>
                </c:pt>
                <c:pt idx="61">
                  <c:v>73812.639999999999</c:v>
                </c:pt>
                <c:pt idx="62">
                  <c:v>48928.32</c:v>
                </c:pt>
                <c:pt idx="63">
                  <c:v>17440.47</c:v>
                </c:pt>
                <c:pt idx="64">
                  <c:v>5654.47</c:v>
                </c:pt>
                <c:pt idx="65">
                  <c:v>89746.09</c:v>
                </c:pt>
                <c:pt idx="66">
                  <c:v>29280.03</c:v>
                </c:pt>
                <c:pt idx="67">
                  <c:v>75354.66</c:v>
                </c:pt>
                <c:pt idx="68">
                  <c:v>54820.68</c:v>
                </c:pt>
                <c:pt idx="69">
                  <c:v>13606.48</c:v>
                </c:pt>
                <c:pt idx="70">
                  <c:v>84840.92</c:v>
                </c:pt>
                <c:pt idx="71">
                  <c:v>26215.18</c:v>
                </c:pt>
                <c:pt idx="72">
                  <c:v>82628.53</c:v>
                </c:pt>
                <c:pt idx="73">
                  <c:v>74738.149999999994</c:v>
                </c:pt>
                <c:pt idx="74">
                  <c:v>96837.66</c:v>
                </c:pt>
                <c:pt idx="75">
                  <c:v>113794.68000000001</c:v>
                </c:pt>
              </c:numCache>
            </c:numRef>
          </c:val>
        </c:ser>
        <c:ser>
          <c:idx val="1"/>
          <c:order val="1"/>
          <c:tx>
            <c:strRef>
              <c:f>PivotTable!$R$3:$R$4</c:f>
              <c:strCache>
                <c:ptCount val="1"/>
                <c:pt idx="0">
                  <c:v>Sum of rata_lunara</c:v>
                </c:pt>
              </c:strCache>
            </c:strRef>
          </c:tx>
          <c:cat>
            <c:strRef>
              <c:f>PivotTable!$P$5:$P$81</c:f>
              <c:strCache>
                <c:ptCount val="7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9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28</c:v>
                </c:pt>
                <c:pt idx="21">
                  <c:v>32</c:v>
                </c:pt>
                <c:pt idx="22">
                  <c:v>33</c:v>
                </c:pt>
                <c:pt idx="23">
                  <c:v>34</c:v>
                </c:pt>
                <c:pt idx="24">
                  <c:v>36</c:v>
                </c:pt>
                <c:pt idx="25">
                  <c:v>37</c:v>
                </c:pt>
                <c:pt idx="26">
                  <c:v>39</c:v>
                </c:pt>
                <c:pt idx="27">
                  <c:v>40</c:v>
                </c:pt>
                <c:pt idx="28">
                  <c:v>41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51</c:v>
                </c:pt>
                <c:pt idx="37">
                  <c:v>52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61</c:v>
                </c:pt>
                <c:pt idx="45">
                  <c:v>62</c:v>
                </c:pt>
                <c:pt idx="46">
                  <c:v>64</c:v>
                </c:pt>
                <c:pt idx="47">
                  <c:v>66</c:v>
                </c:pt>
                <c:pt idx="48">
                  <c:v>68</c:v>
                </c:pt>
                <c:pt idx="49">
                  <c:v>69</c:v>
                </c:pt>
                <c:pt idx="50">
                  <c:v>71</c:v>
                </c:pt>
                <c:pt idx="51">
                  <c:v>72</c:v>
                </c:pt>
                <c:pt idx="52">
                  <c:v>73</c:v>
                </c:pt>
                <c:pt idx="53">
                  <c:v>74</c:v>
                </c:pt>
                <c:pt idx="54">
                  <c:v>76</c:v>
                </c:pt>
                <c:pt idx="55">
                  <c:v>77</c:v>
                </c:pt>
                <c:pt idx="56">
                  <c:v>78</c:v>
                </c:pt>
                <c:pt idx="57">
                  <c:v>79</c:v>
                </c:pt>
                <c:pt idx="58">
                  <c:v>80</c:v>
                </c:pt>
                <c:pt idx="59">
                  <c:v>83</c:v>
                </c:pt>
                <c:pt idx="60">
                  <c:v>84</c:v>
                </c:pt>
                <c:pt idx="61">
                  <c:v>85</c:v>
                </c:pt>
                <c:pt idx="62">
                  <c:v>86</c:v>
                </c:pt>
                <c:pt idx="63">
                  <c:v>87</c:v>
                </c:pt>
                <c:pt idx="64">
                  <c:v>88</c:v>
                </c:pt>
                <c:pt idx="65">
                  <c:v>89</c:v>
                </c:pt>
                <c:pt idx="66">
                  <c:v>90</c:v>
                </c:pt>
                <c:pt idx="67">
                  <c:v>91</c:v>
                </c:pt>
                <c:pt idx="68">
                  <c:v>92</c:v>
                </c:pt>
                <c:pt idx="69">
                  <c:v>93</c:v>
                </c:pt>
                <c:pt idx="70">
                  <c:v>94</c:v>
                </c:pt>
                <c:pt idx="71">
                  <c:v>95</c:v>
                </c:pt>
                <c:pt idx="72">
                  <c:v>96</c:v>
                </c:pt>
                <c:pt idx="73">
                  <c:v>98</c:v>
                </c:pt>
                <c:pt idx="74">
                  <c:v>99</c:v>
                </c:pt>
                <c:pt idx="75">
                  <c:v>100</c:v>
                </c:pt>
              </c:strCache>
            </c:strRef>
          </c:cat>
          <c:val>
            <c:numRef>
              <c:f>PivotTable!$R$5:$R$81</c:f>
              <c:numCache>
                <c:formatCode>General</c:formatCode>
                <c:ptCount val="76"/>
                <c:pt idx="0">
                  <c:v>1643.77</c:v>
                </c:pt>
                <c:pt idx="1">
                  <c:v>812.61</c:v>
                </c:pt>
                <c:pt idx="2">
                  <c:v>1496.38</c:v>
                </c:pt>
                <c:pt idx="3">
                  <c:v>457.68</c:v>
                </c:pt>
                <c:pt idx="4">
                  <c:v>1269.3499999999999</c:v>
                </c:pt>
                <c:pt idx="5">
                  <c:v>3255.08</c:v>
                </c:pt>
                <c:pt idx="6">
                  <c:v>2557.31</c:v>
                </c:pt>
                <c:pt idx="7">
                  <c:v>1928.11</c:v>
                </c:pt>
                <c:pt idx="8">
                  <c:v>275.08999999999997</c:v>
                </c:pt>
                <c:pt idx="9">
                  <c:v>364.84</c:v>
                </c:pt>
                <c:pt idx="10">
                  <c:v>321.74</c:v>
                </c:pt>
                <c:pt idx="11">
                  <c:v>596.09</c:v>
                </c:pt>
                <c:pt idx="12">
                  <c:v>1651.9099999999999</c:v>
                </c:pt>
                <c:pt idx="13">
                  <c:v>1194.99</c:v>
                </c:pt>
                <c:pt idx="14">
                  <c:v>1219.1400000000001</c:v>
                </c:pt>
                <c:pt idx="15">
                  <c:v>1351.44</c:v>
                </c:pt>
                <c:pt idx="16">
                  <c:v>1003.05</c:v>
                </c:pt>
                <c:pt idx="17">
                  <c:v>587.59</c:v>
                </c:pt>
                <c:pt idx="18">
                  <c:v>1812.57</c:v>
                </c:pt>
                <c:pt idx="19">
                  <c:v>197.37</c:v>
                </c:pt>
                <c:pt idx="20">
                  <c:v>1135.4100000000001</c:v>
                </c:pt>
                <c:pt idx="21">
                  <c:v>1225.5899999999999</c:v>
                </c:pt>
                <c:pt idx="22">
                  <c:v>4464.3999999999996</c:v>
                </c:pt>
                <c:pt idx="23">
                  <c:v>1448.79</c:v>
                </c:pt>
                <c:pt idx="24">
                  <c:v>3670.13</c:v>
                </c:pt>
                <c:pt idx="25">
                  <c:v>2628.66</c:v>
                </c:pt>
                <c:pt idx="26">
                  <c:v>2598.23</c:v>
                </c:pt>
                <c:pt idx="27">
                  <c:v>1971.52</c:v>
                </c:pt>
                <c:pt idx="28">
                  <c:v>217.4</c:v>
                </c:pt>
                <c:pt idx="29">
                  <c:v>609.75</c:v>
                </c:pt>
                <c:pt idx="30">
                  <c:v>1013.57</c:v>
                </c:pt>
                <c:pt idx="31">
                  <c:v>1248.1199999999999</c:v>
                </c:pt>
                <c:pt idx="32">
                  <c:v>1381.42</c:v>
                </c:pt>
                <c:pt idx="33">
                  <c:v>1364.92</c:v>
                </c:pt>
                <c:pt idx="34">
                  <c:v>3325.73</c:v>
                </c:pt>
                <c:pt idx="35">
                  <c:v>1412.03</c:v>
                </c:pt>
                <c:pt idx="36">
                  <c:v>635.53</c:v>
                </c:pt>
                <c:pt idx="37">
                  <c:v>3435.4700000000003</c:v>
                </c:pt>
                <c:pt idx="38">
                  <c:v>2610.12</c:v>
                </c:pt>
                <c:pt idx="39">
                  <c:v>504.96</c:v>
                </c:pt>
                <c:pt idx="40">
                  <c:v>4055.41</c:v>
                </c:pt>
                <c:pt idx="41">
                  <c:v>2516.3900000000003</c:v>
                </c:pt>
                <c:pt idx="42">
                  <c:v>1239.1500000000001</c:v>
                </c:pt>
                <c:pt idx="43">
                  <c:v>3049.83</c:v>
                </c:pt>
                <c:pt idx="44">
                  <c:v>1752.36</c:v>
                </c:pt>
                <c:pt idx="45">
                  <c:v>1533.29</c:v>
                </c:pt>
                <c:pt idx="46">
                  <c:v>2466.48</c:v>
                </c:pt>
                <c:pt idx="47">
                  <c:v>1202.08</c:v>
                </c:pt>
                <c:pt idx="48">
                  <c:v>764.08</c:v>
                </c:pt>
                <c:pt idx="49">
                  <c:v>295.43</c:v>
                </c:pt>
                <c:pt idx="50">
                  <c:v>562.15</c:v>
                </c:pt>
                <c:pt idx="51">
                  <c:v>1150.8399999999999</c:v>
                </c:pt>
                <c:pt idx="52">
                  <c:v>237.22</c:v>
                </c:pt>
                <c:pt idx="53">
                  <c:v>1451.38</c:v>
                </c:pt>
                <c:pt idx="54">
                  <c:v>513.99</c:v>
                </c:pt>
                <c:pt idx="55">
                  <c:v>507.41</c:v>
                </c:pt>
                <c:pt idx="56">
                  <c:v>29.48</c:v>
                </c:pt>
                <c:pt idx="57">
                  <c:v>725.35</c:v>
                </c:pt>
                <c:pt idx="58">
                  <c:v>575.34</c:v>
                </c:pt>
                <c:pt idx="59">
                  <c:v>2248.39</c:v>
                </c:pt>
                <c:pt idx="60">
                  <c:v>1152.6500000000001</c:v>
                </c:pt>
                <c:pt idx="61">
                  <c:v>2573.44</c:v>
                </c:pt>
                <c:pt idx="62">
                  <c:v>906.08</c:v>
                </c:pt>
                <c:pt idx="63">
                  <c:v>363.34</c:v>
                </c:pt>
                <c:pt idx="64">
                  <c:v>157.07</c:v>
                </c:pt>
                <c:pt idx="65">
                  <c:v>2924.38</c:v>
                </c:pt>
                <c:pt idx="66">
                  <c:v>597.54999999999995</c:v>
                </c:pt>
                <c:pt idx="67">
                  <c:v>1993.01</c:v>
                </c:pt>
                <c:pt idx="68">
                  <c:v>1054.01</c:v>
                </c:pt>
                <c:pt idx="69">
                  <c:v>316.43</c:v>
                </c:pt>
                <c:pt idx="70">
                  <c:v>2981.54</c:v>
                </c:pt>
                <c:pt idx="71">
                  <c:v>557.77</c:v>
                </c:pt>
                <c:pt idx="72">
                  <c:v>1651.0700000000002</c:v>
                </c:pt>
                <c:pt idx="73">
                  <c:v>4650.6400000000003</c:v>
                </c:pt>
                <c:pt idx="74">
                  <c:v>2806.77</c:v>
                </c:pt>
                <c:pt idx="75">
                  <c:v>6513.2699999999995</c:v>
                </c:pt>
              </c:numCache>
            </c:numRef>
          </c:val>
        </c:ser>
        <c:ser>
          <c:idx val="2"/>
          <c:order val="2"/>
          <c:tx>
            <c:strRef>
              <c:f>PivotTable!$S$3:$S$4</c:f>
              <c:strCache>
                <c:ptCount val="1"/>
                <c:pt idx="0">
                  <c:v>Count of id_client</c:v>
                </c:pt>
              </c:strCache>
            </c:strRef>
          </c:tx>
          <c:cat>
            <c:strRef>
              <c:f>PivotTable!$P$5:$P$81</c:f>
              <c:strCache>
                <c:ptCount val="7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9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28</c:v>
                </c:pt>
                <c:pt idx="21">
                  <c:v>32</c:v>
                </c:pt>
                <c:pt idx="22">
                  <c:v>33</c:v>
                </c:pt>
                <c:pt idx="23">
                  <c:v>34</c:v>
                </c:pt>
                <c:pt idx="24">
                  <c:v>36</c:v>
                </c:pt>
                <c:pt idx="25">
                  <c:v>37</c:v>
                </c:pt>
                <c:pt idx="26">
                  <c:v>39</c:v>
                </c:pt>
                <c:pt idx="27">
                  <c:v>40</c:v>
                </c:pt>
                <c:pt idx="28">
                  <c:v>41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51</c:v>
                </c:pt>
                <c:pt idx="37">
                  <c:v>52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61</c:v>
                </c:pt>
                <c:pt idx="45">
                  <c:v>62</c:v>
                </c:pt>
                <c:pt idx="46">
                  <c:v>64</c:v>
                </c:pt>
                <c:pt idx="47">
                  <c:v>66</c:v>
                </c:pt>
                <c:pt idx="48">
                  <c:v>68</c:v>
                </c:pt>
                <c:pt idx="49">
                  <c:v>69</c:v>
                </c:pt>
                <c:pt idx="50">
                  <c:v>71</c:v>
                </c:pt>
                <c:pt idx="51">
                  <c:v>72</c:v>
                </c:pt>
                <c:pt idx="52">
                  <c:v>73</c:v>
                </c:pt>
                <c:pt idx="53">
                  <c:v>74</c:v>
                </c:pt>
                <c:pt idx="54">
                  <c:v>76</c:v>
                </c:pt>
                <c:pt idx="55">
                  <c:v>77</c:v>
                </c:pt>
                <c:pt idx="56">
                  <c:v>78</c:v>
                </c:pt>
                <c:pt idx="57">
                  <c:v>79</c:v>
                </c:pt>
                <c:pt idx="58">
                  <c:v>80</c:v>
                </c:pt>
                <c:pt idx="59">
                  <c:v>83</c:v>
                </c:pt>
                <c:pt idx="60">
                  <c:v>84</c:v>
                </c:pt>
                <c:pt idx="61">
                  <c:v>85</c:v>
                </c:pt>
                <c:pt idx="62">
                  <c:v>86</c:v>
                </c:pt>
                <c:pt idx="63">
                  <c:v>87</c:v>
                </c:pt>
                <c:pt idx="64">
                  <c:v>88</c:v>
                </c:pt>
                <c:pt idx="65">
                  <c:v>89</c:v>
                </c:pt>
                <c:pt idx="66">
                  <c:v>90</c:v>
                </c:pt>
                <c:pt idx="67">
                  <c:v>91</c:v>
                </c:pt>
                <c:pt idx="68">
                  <c:v>92</c:v>
                </c:pt>
                <c:pt idx="69">
                  <c:v>93</c:v>
                </c:pt>
                <c:pt idx="70">
                  <c:v>94</c:v>
                </c:pt>
                <c:pt idx="71">
                  <c:v>95</c:v>
                </c:pt>
                <c:pt idx="72">
                  <c:v>96</c:v>
                </c:pt>
                <c:pt idx="73">
                  <c:v>98</c:v>
                </c:pt>
                <c:pt idx="74">
                  <c:v>99</c:v>
                </c:pt>
                <c:pt idx="75">
                  <c:v>100</c:v>
                </c:pt>
              </c:strCache>
            </c:strRef>
          </c:cat>
          <c:val>
            <c:numRef>
              <c:f>PivotTable!$S$5:$S$81</c:f>
              <c:numCache>
                <c:formatCode>General</c:formatCode>
                <c:ptCount val="7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3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3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  <c:pt idx="34">
                  <c:v>3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1</c:v>
                </c:pt>
                <c:pt idx="43">
                  <c:v>3</c:v>
                </c:pt>
                <c:pt idx="44">
                  <c:v>3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2</c:v>
                </c:pt>
                <c:pt idx="52">
                  <c:v>1</c:v>
                </c:pt>
                <c:pt idx="53">
                  <c:v>3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3</c:v>
                </c:pt>
                <c:pt idx="61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3</c:v>
                </c:pt>
                <c:pt idx="66">
                  <c:v>1</c:v>
                </c:pt>
                <c:pt idx="67">
                  <c:v>3</c:v>
                </c:pt>
                <c:pt idx="68">
                  <c:v>2</c:v>
                </c:pt>
                <c:pt idx="69">
                  <c:v>1</c:v>
                </c:pt>
                <c:pt idx="70">
                  <c:v>2</c:v>
                </c:pt>
                <c:pt idx="71">
                  <c:v>1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</c:numCache>
            </c:numRef>
          </c:val>
        </c:ser>
        <c:overlap val="100"/>
        <c:axId val="114197632"/>
        <c:axId val="114251648"/>
      </c:barChart>
      <c:catAx>
        <c:axId val="114197632"/>
        <c:scaling>
          <c:orientation val="minMax"/>
        </c:scaling>
        <c:axPos val="b"/>
        <c:tickLblPos val="nextTo"/>
        <c:crossAx val="114251648"/>
        <c:crosses val="autoZero"/>
        <c:auto val="1"/>
        <c:lblAlgn val="ctr"/>
        <c:lblOffset val="100"/>
      </c:catAx>
      <c:valAx>
        <c:axId val="114251648"/>
        <c:scaling>
          <c:orientation val="minMax"/>
        </c:scaling>
        <c:axPos val="l"/>
        <c:majorGridlines/>
        <c:numFmt formatCode="General" sourceLinked="1"/>
        <c:tickLblPos val="nextTo"/>
        <c:crossAx val="11419763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7"/>
  <c:pivotSource>
    <c:name>[SSD_Banca_PROIECT.xlsx]PivotTable!PivotTable4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600" b="1" i="0" u="none" strike="noStrike" baseline="0"/>
              <a:t>Distribuția soldurilor pe tipuri de cont</a:t>
            </a:r>
            <a:endParaRPr lang="en-US" sz="1600"/>
          </a:p>
        </c:rich>
      </c:tx>
      <c:layout>
        <c:manualLayout>
          <c:xMode val="edge"/>
          <c:yMode val="edge"/>
          <c:x val="0.19291666666666671"/>
          <c:y val="2.3148148148148147E-2"/>
        </c:manualLayout>
      </c:layout>
    </c:title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PivotTable!$C$3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PivotTable!$B$4:$B$6</c:f>
              <c:strCache>
                <c:ptCount val="2"/>
                <c:pt idx="0">
                  <c:v>curent</c:v>
                </c:pt>
                <c:pt idx="1">
                  <c:v>economii</c:v>
                </c:pt>
              </c:strCache>
            </c:strRef>
          </c:cat>
          <c:val>
            <c:numRef>
              <c:f>PivotTable!$C$4:$C$6</c:f>
              <c:numCache>
                <c:formatCode>General</c:formatCode>
                <c:ptCount val="2"/>
                <c:pt idx="0">
                  <c:v>2126745.0799999991</c:v>
                </c:pt>
                <c:pt idx="1">
                  <c:v>2399962.4000000008</c:v>
                </c:pt>
              </c:numCache>
            </c:numRef>
          </c:val>
        </c:ser>
        <c:axId val="181784960"/>
        <c:axId val="181802496"/>
      </c:barChart>
      <c:catAx>
        <c:axId val="181784960"/>
        <c:scaling>
          <c:orientation val="minMax"/>
        </c:scaling>
        <c:axPos val="b"/>
        <c:tickLblPos val="nextTo"/>
        <c:crossAx val="181802496"/>
        <c:crosses val="autoZero"/>
        <c:auto val="1"/>
        <c:lblAlgn val="ctr"/>
        <c:lblOffset val="100"/>
      </c:catAx>
      <c:valAx>
        <c:axId val="181802496"/>
        <c:scaling>
          <c:orientation val="minMax"/>
        </c:scaling>
        <c:axPos val="l"/>
        <c:majorGridlines/>
        <c:numFmt formatCode="General" sourceLinked="1"/>
        <c:tickLblPos val="nextTo"/>
        <c:crossAx val="18178496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pivotSource>
    <c:name>[SSD_Banca_PROIECT.xlsx]PivotTable!PivotTable6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Analiza tranzacțiilor</a:t>
            </a:r>
          </a:p>
        </c:rich>
      </c:tx>
      <c:layout/>
    </c:title>
    <c:pivotFmts>
      <c:pivotFmt>
        <c:idx val="0"/>
        <c:dLbl>
          <c:idx val="0"/>
          <c:showVal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PivotTable!$C$25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PivotTable!$B$26:$B$29</c:f>
              <c:strCache>
                <c:ptCount val="3"/>
                <c:pt idx="0">
                  <c:v>depunere</c:v>
                </c:pt>
                <c:pt idx="1">
                  <c:v>retragere</c:v>
                </c:pt>
                <c:pt idx="2">
                  <c:v>transfer</c:v>
                </c:pt>
              </c:strCache>
            </c:strRef>
          </c:cat>
          <c:val>
            <c:numRef>
              <c:f>PivotTable!$C$26:$C$29</c:f>
              <c:numCache>
                <c:formatCode>General</c:formatCode>
                <c:ptCount val="3"/>
                <c:pt idx="0">
                  <c:v>495869.41999999952</c:v>
                </c:pt>
                <c:pt idx="1">
                  <c:v>483425.51000000018</c:v>
                </c:pt>
                <c:pt idx="2">
                  <c:v>524234.06000000041</c:v>
                </c:pt>
              </c:numCache>
            </c:numRef>
          </c:val>
        </c:ser>
        <c:axId val="181930624"/>
        <c:axId val="181989760"/>
      </c:barChart>
      <c:catAx>
        <c:axId val="181930624"/>
        <c:scaling>
          <c:orientation val="minMax"/>
        </c:scaling>
        <c:axPos val="b"/>
        <c:tickLblPos val="nextTo"/>
        <c:crossAx val="181989760"/>
        <c:crosses val="autoZero"/>
        <c:auto val="1"/>
        <c:lblAlgn val="ctr"/>
        <c:lblOffset val="100"/>
      </c:catAx>
      <c:valAx>
        <c:axId val="181989760"/>
        <c:scaling>
          <c:orientation val="minMax"/>
        </c:scaling>
        <c:axPos val="l"/>
        <c:majorGridlines/>
        <c:numFmt formatCode="General" sourceLinked="1"/>
        <c:tickLblPos val="nextTo"/>
        <c:crossAx val="1819306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[SSD_Banca_PROIECT.xlsx]PivotTable!PivotTable7</c:name>
    <c:fmtId val="2"/>
  </c:pivotSource>
  <c:chart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</c:pivotFmts>
    <c:plotArea>
      <c:layout/>
      <c:barChart>
        <c:barDir val="col"/>
        <c:grouping val="stacked"/>
        <c:ser>
          <c:idx val="0"/>
          <c:order val="0"/>
          <c:tx>
            <c:strRef>
              <c:f>PivotTable!$Q$3:$Q$4</c:f>
              <c:strCache>
                <c:ptCount val="1"/>
                <c:pt idx="0">
                  <c:v>Sum of suma_credit</c:v>
                </c:pt>
              </c:strCache>
            </c:strRef>
          </c:tx>
          <c:cat>
            <c:strRef>
              <c:f>PivotTable!$P$5:$P$81</c:f>
              <c:strCache>
                <c:ptCount val="7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9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28</c:v>
                </c:pt>
                <c:pt idx="21">
                  <c:v>32</c:v>
                </c:pt>
                <c:pt idx="22">
                  <c:v>33</c:v>
                </c:pt>
                <c:pt idx="23">
                  <c:v>34</c:v>
                </c:pt>
                <c:pt idx="24">
                  <c:v>36</c:v>
                </c:pt>
                <c:pt idx="25">
                  <c:v>37</c:v>
                </c:pt>
                <c:pt idx="26">
                  <c:v>39</c:v>
                </c:pt>
                <c:pt idx="27">
                  <c:v>40</c:v>
                </c:pt>
                <c:pt idx="28">
                  <c:v>41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51</c:v>
                </c:pt>
                <c:pt idx="37">
                  <c:v>52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61</c:v>
                </c:pt>
                <c:pt idx="45">
                  <c:v>62</c:v>
                </c:pt>
                <c:pt idx="46">
                  <c:v>64</c:v>
                </c:pt>
                <c:pt idx="47">
                  <c:v>66</c:v>
                </c:pt>
                <c:pt idx="48">
                  <c:v>68</c:v>
                </c:pt>
                <c:pt idx="49">
                  <c:v>69</c:v>
                </c:pt>
                <c:pt idx="50">
                  <c:v>71</c:v>
                </c:pt>
                <c:pt idx="51">
                  <c:v>72</c:v>
                </c:pt>
                <c:pt idx="52">
                  <c:v>73</c:v>
                </c:pt>
                <c:pt idx="53">
                  <c:v>74</c:v>
                </c:pt>
                <c:pt idx="54">
                  <c:v>76</c:v>
                </c:pt>
                <c:pt idx="55">
                  <c:v>77</c:v>
                </c:pt>
                <c:pt idx="56">
                  <c:v>78</c:v>
                </c:pt>
                <c:pt idx="57">
                  <c:v>79</c:v>
                </c:pt>
                <c:pt idx="58">
                  <c:v>80</c:v>
                </c:pt>
                <c:pt idx="59">
                  <c:v>83</c:v>
                </c:pt>
                <c:pt idx="60">
                  <c:v>84</c:v>
                </c:pt>
                <c:pt idx="61">
                  <c:v>85</c:v>
                </c:pt>
                <c:pt idx="62">
                  <c:v>86</c:v>
                </c:pt>
                <c:pt idx="63">
                  <c:v>87</c:v>
                </c:pt>
                <c:pt idx="64">
                  <c:v>88</c:v>
                </c:pt>
                <c:pt idx="65">
                  <c:v>89</c:v>
                </c:pt>
                <c:pt idx="66">
                  <c:v>90</c:v>
                </c:pt>
                <c:pt idx="67">
                  <c:v>91</c:v>
                </c:pt>
                <c:pt idx="68">
                  <c:v>92</c:v>
                </c:pt>
                <c:pt idx="69">
                  <c:v>93</c:v>
                </c:pt>
                <c:pt idx="70">
                  <c:v>94</c:v>
                </c:pt>
                <c:pt idx="71">
                  <c:v>95</c:v>
                </c:pt>
                <c:pt idx="72">
                  <c:v>96</c:v>
                </c:pt>
                <c:pt idx="73">
                  <c:v>98</c:v>
                </c:pt>
                <c:pt idx="74">
                  <c:v>99</c:v>
                </c:pt>
                <c:pt idx="75">
                  <c:v>100</c:v>
                </c:pt>
              </c:strCache>
            </c:strRef>
          </c:cat>
          <c:val>
            <c:numRef>
              <c:f>PivotTable!$Q$5:$Q$81</c:f>
              <c:numCache>
                <c:formatCode>General</c:formatCode>
                <c:ptCount val="76"/>
                <c:pt idx="0">
                  <c:v>32875.4</c:v>
                </c:pt>
                <c:pt idx="1">
                  <c:v>30066.74</c:v>
                </c:pt>
                <c:pt idx="2">
                  <c:v>25006.42</c:v>
                </c:pt>
                <c:pt idx="3">
                  <c:v>20855.239999999998</c:v>
                </c:pt>
                <c:pt idx="4">
                  <c:v>35541.910000000003</c:v>
                </c:pt>
                <c:pt idx="5">
                  <c:v>48347.13</c:v>
                </c:pt>
                <c:pt idx="6">
                  <c:v>41097.340000000004</c:v>
                </c:pt>
                <c:pt idx="7">
                  <c:v>48202.63</c:v>
                </c:pt>
                <c:pt idx="8">
                  <c:v>14580.01</c:v>
                </c:pt>
                <c:pt idx="9">
                  <c:v>20066.259999999998</c:v>
                </c:pt>
                <c:pt idx="10">
                  <c:v>6434.86</c:v>
                </c:pt>
                <c:pt idx="11">
                  <c:v>23247.52</c:v>
                </c:pt>
                <c:pt idx="12">
                  <c:v>61243.009999999995</c:v>
                </c:pt>
                <c:pt idx="13">
                  <c:v>59727.75</c:v>
                </c:pt>
                <c:pt idx="14">
                  <c:v>45881.85</c:v>
                </c:pt>
                <c:pt idx="15">
                  <c:v>31083.07</c:v>
                </c:pt>
                <c:pt idx="16">
                  <c:v>14042.69</c:v>
                </c:pt>
                <c:pt idx="17">
                  <c:v>29379.72</c:v>
                </c:pt>
                <c:pt idx="18">
                  <c:v>50657.93</c:v>
                </c:pt>
                <c:pt idx="19">
                  <c:v>10460.450000000001</c:v>
                </c:pt>
                <c:pt idx="20">
                  <c:v>54650.409999999996</c:v>
                </c:pt>
                <c:pt idx="21">
                  <c:v>22060.66</c:v>
                </c:pt>
                <c:pt idx="22">
                  <c:v>107784.69999999998</c:v>
                </c:pt>
                <c:pt idx="23">
                  <c:v>75431.62</c:v>
                </c:pt>
                <c:pt idx="24">
                  <c:v>67945.45</c:v>
                </c:pt>
                <c:pt idx="25">
                  <c:v>55573.460000000006</c:v>
                </c:pt>
                <c:pt idx="26">
                  <c:v>74644.209999999992</c:v>
                </c:pt>
                <c:pt idx="27">
                  <c:v>56148.060000000005</c:v>
                </c:pt>
                <c:pt idx="28">
                  <c:v>8261.2199999999993</c:v>
                </c:pt>
                <c:pt idx="29">
                  <c:v>35365.75</c:v>
                </c:pt>
                <c:pt idx="30">
                  <c:v>48651.56</c:v>
                </c:pt>
                <c:pt idx="31">
                  <c:v>54505.86</c:v>
                </c:pt>
                <c:pt idx="32">
                  <c:v>50662.97</c:v>
                </c:pt>
                <c:pt idx="33">
                  <c:v>24177.809999999998</c:v>
                </c:pt>
                <c:pt idx="34">
                  <c:v>75332.23000000001</c:v>
                </c:pt>
                <c:pt idx="35">
                  <c:v>36862.26</c:v>
                </c:pt>
                <c:pt idx="36">
                  <c:v>23235.16</c:v>
                </c:pt>
                <c:pt idx="37">
                  <c:v>81732.320000000007</c:v>
                </c:pt>
                <c:pt idx="38">
                  <c:v>63820.47</c:v>
                </c:pt>
                <c:pt idx="39">
                  <c:v>10604.24</c:v>
                </c:pt>
                <c:pt idx="40">
                  <c:v>62510.47</c:v>
                </c:pt>
                <c:pt idx="41">
                  <c:v>87501.540000000008</c:v>
                </c:pt>
                <c:pt idx="42">
                  <c:v>40891.879999999997</c:v>
                </c:pt>
                <c:pt idx="43">
                  <c:v>86991.65</c:v>
                </c:pt>
                <c:pt idx="44">
                  <c:v>31030.67</c:v>
                </c:pt>
                <c:pt idx="45">
                  <c:v>77201.58</c:v>
                </c:pt>
                <c:pt idx="46">
                  <c:v>48560.350000000006</c:v>
                </c:pt>
                <c:pt idx="47">
                  <c:v>60099.24</c:v>
                </c:pt>
                <c:pt idx="48">
                  <c:v>37440.15</c:v>
                </c:pt>
                <c:pt idx="49">
                  <c:v>12998.76</c:v>
                </c:pt>
                <c:pt idx="50">
                  <c:v>19675.12</c:v>
                </c:pt>
                <c:pt idx="51">
                  <c:v>62625.600000000006</c:v>
                </c:pt>
                <c:pt idx="52">
                  <c:v>4981.71</c:v>
                </c:pt>
                <c:pt idx="53">
                  <c:v>37153.379999999997</c:v>
                </c:pt>
                <c:pt idx="54">
                  <c:v>10793.71</c:v>
                </c:pt>
                <c:pt idx="55">
                  <c:v>12177.74</c:v>
                </c:pt>
                <c:pt idx="56">
                  <c:v>1090.77</c:v>
                </c:pt>
                <c:pt idx="57">
                  <c:v>26837.96</c:v>
                </c:pt>
                <c:pt idx="58">
                  <c:v>24739.599999999999</c:v>
                </c:pt>
                <c:pt idx="59">
                  <c:v>67084.63</c:v>
                </c:pt>
                <c:pt idx="60">
                  <c:v>56603.59</c:v>
                </c:pt>
                <c:pt idx="61">
                  <c:v>73812.639999999999</c:v>
                </c:pt>
                <c:pt idx="62">
                  <c:v>48928.32</c:v>
                </c:pt>
                <c:pt idx="63">
                  <c:v>17440.47</c:v>
                </c:pt>
                <c:pt idx="64">
                  <c:v>5654.47</c:v>
                </c:pt>
                <c:pt idx="65">
                  <c:v>89746.09</c:v>
                </c:pt>
                <c:pt idx="66">
                  <c:v>29280.03</c:v>
                </c:pt>
                <c:pt idx="67">
                  <c:v>75354.66</c:v>
                </c:pt>
                <c:pt idx="68">
                  <c:v>54820.68</c:v>
                </c:pt>
                <c:pt idx="69">
                  <c:v>13606.48</c:v>
                </c:pt>
                <c:pt idx="70">
                  <c:v>84840.92</c:v>
                </c:pt>
                <c:pt idx="71">
                  <c:v>26215.18</c:v>
                </c:pt>
                <c:pt idx="72">
                  <c:v>82628.53</c:v>
                </c:pt>
                <c:pt idx="73">
                  <c:v>74738.149999999994</c:v>
                </c:pt>
                <c:pt idx="74">
                  <c:v>96837.66</c:v>
                </c:pt>
                <c:pt idx="75">
                  <c:v>113794.68000000001</c:v>
                </c:pt>
              </c:numCache>
            </c:numRef>
          </c:val>
        </c:ser>
        <c:ser>
          <c:idx val="1"/>
          <c:order val="1"/>
          <c:tx>
            <c:strRef>
              <c:f>PivotTable!$R$3:$R$4</c:f>
              <c:strCache>
                <c:ptCount val="1"/>
                <c:pt idx="0">
                  <c:v>Sum of rata_lunara</c:v>
                </c:pt>
              </c:strCache>
            </c:strRef>
          </c:tx>
          <c:cat>
            <c:strRef>
              <c:f>PivotTable!$P$5:$P$81</c:f>
              <c:strCache>
                <c:ptCount val="7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9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28</c:v>
                </c:pt>
                <c:pt idx="21">
                  <c:v>32</c:v>
                </c:pt>
                <c:pt idx="22">
                  <c:v>33</c:v>
                </c:pt>
                <c:pt idx="23">
                  <c:v>34</c:v>
                </c:pt>
                <c:pt idx="24">
                  <c:v>36</c:v>
                </c:pt>
                <c:pt idx="25">
                  <c:v>37</c:v>
                </c:pt>
                <c:pt idx="26">
                  <c:v>39</c:v>
                </c:pt>
                <c:pt idx="27">
                  <c:v>40</c:v>
                </c:pt>
                <c:pt idx="28">
                  <c:v>41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51</c:v>
                </c:pt>
                <c:pt idx="37">
                  <c:v>52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61</c:v>
                </c:pt>
                <c:pt idx="45">
                  <c:v>62</c:v>
                </c:pt>
                <c:pt idx="46">
                  <c:v>64</c:v>
                </c:pt>
                <c:pt idx="47">
                  <c:v>66</c:v>
                </c:pt>
                <c:pt idx="48">
                  <c:v>68</c:v>
                </c:pt>
                <c:pt idx="49">
                  <c:v>69</c:v>
                </c:pt>
                <c:pt idx="50">
                  <c:v>71</c:v>
                </c:pt>
                <c:pt idx="51">
                  <c:v>72</c:v>
                </c:pt>
                <c:pt idx="52">
                  <c:v>73</c:v>
                </c:pt>
                <c:pt idx="53">
                  <c:v>74</c:v>
                </c:pt>
                <c:pt idx="54">
                  <c:v>76</c:v>
                </c:pt>
                <c:pt idx="55">
                  <c:v>77</c:v>
                </c:pt>
                <c:pt idx="56">
                  <c:v>78</c:v>
                </c:pt>
                <c:pt idx="57">
                  <c:v>79</c:v>
                </c:pt>
                <c:pt idx="58">
                  <c:v>80</c:v>
                </c:pt>
                <c:pt idx="59">
                  <c:v>83</c:v>
                </c:pt>
                <c:pt idx="60">
                  <c:v>84</c:v>
                </c:pt>
                <c:pt idx="61">
                  <c:v>85</c:v>
                </c:pt>
                <c:pt idx="62">
                  <c:v>86</c:v>
                </c:pt>
                <c:pt idx="63">
                  <c:v>87</c:v>
                </c:pt>
                <c:pt idx="64">
                  <c:v>88</c:v>
                </c:pt>
                <c:pt idx="65">
                  <c:v>89</c:v>
                </c:pt>
                <c:pt idx="66">
                  <c:v>90</c:v>
                </c:pt>
                <c:pt idx="67">
                  <c:v>91</c:v>
                </c:pt>
                <c:pt idx="68">
                  <c:v>92</c:v>
                </c:pt>
                <c:pt idx="69">
                  <c:v>93</c:v>
                </c:pt>
                <c:pt idx="70">
                  <c:v>94</c:v>
                </c:pt>
                <c:pt idx="71">
                  <c:v>95</c:v>
                </c:pt>
                <c:pt idx="72">
                  <c:v>96</c:v>
                </c:pt>
                <c:pt idx="73">
                  <c:v>98</c:v>
                </c:pt>
                <c:pt idx="74">
                  <c:v>99</c:v>
                </c:pt>
                <c:pt idx="75">
                  <c:v>100</c:v>
                </c:pt>
              </c:strCache>
            </c:strRef>
          </c:cat>
          <c:val>
            <c:numRef>
              <c:f>PivotTable!$R$5:$R$81</c:f>
              <c:numCache>
                <c:formatCode>General</c:formatCode>
                <c:ptCount val="76"/>
                <c:pt idx="0">
                  <c:v>1643.77</c:v>
                </c:pt>
                <c:pt idx="1">
                  <c:v>812.61</c:v>
                </c:pt>
                <c:pt idx="2">
                  <c:v>1496.38</c:v>
                </c:pt>
                <c:pt idx="3">
                  <c:v>457.68</c:v>
                </c:pt>
                <c:pt idx="4">
                  <c:v>1269.3499999999999</c:v>
                </c:pt>
                <c:pt idx="5">
                  <c:v>3255.08</c:v>
                </c:pt>
                <c:pt idx="6">
                  <c:v>2557.31</c:v>
                </c:pt>
                <c:pt idx="7">
                  <c:v>1928.11</c:v>
                </c:pt>
                <c:pt idx="8">
                  <c:v>275.08999999999997</c:v>
                </c:pt>
                <c:pt idx="9">
                  <c:v>364.84</c:v>
                </c:pt>
                <c:pt idx="10">
                  <c:v>321.74</c:v>
                </c:pt>
                <c:pt idx="11">
                  <c:v>596.09</c:v>
                </c:pt>
                <c:pt idx="12">
                  <c:v>1651.9099999999999</c:v>
                </c:pt>
                <c:pt idx="13">
                  <c:v>1194.99</c:v>
                </c:pt>
                <c:pt idx="14">
                  <c:v>1219.1400000000001</c:v>
                </c:pt>
                <c:pt idx="15">
                  <c:v>1351.44</c:v>
                </c:pt>
                <c:pt idx="16">
                  <c:v>1003.05</c:v>
                </c:pt>
                <c:pt idx="17">
                  <c:v>587.59</c:v>
                </c:pt>
                <c:pt idx="18">
                  <c:v>1812.57</c:v>
                </c:pt>
                <c:pt idx="19">
                  <c:v>197.37</c:v>
                </c:pt>
                <c:pt idx="20">
                  <c:v>1135.4100000000001</c:v>
                </c:pt>
                <c:pt idx="21">
                  <c:v>1225.5899999999999</c:v>
                </c:pt>
                <c:pt idx="22">
                  <c:v>4464.3999999999996</c:v>
                </c:pt>
                <c:pt idx="23">
                  <c:v>1448.79</c:v>
                </c:pt>
                <c:pt idx="24">
                  <c:v>3670.13</c:v>
                </c:pt>
                <c:pt idx="25">
                  <c:v>2628.66</c:v>
                </c:pt>
                <c:pt idx="26">
                  <c:v>2598.23</c:v>
                </c:pt>
                <c:pt idx="27">
                  <c:v>1971.52</c:v>
                </c:pt>
                <c:pt idx="28">
                  <c:v>217.4</c:v>
                </c:pt>
                <c:pt idx="29">
                  <c:v>609.75</c:v>
                </c:pt>
                <c:pt idx="30">
                  <c:v>1013.57</c:v>
                </c:pt>
                <c:pt idx="31">
                  <c:v>1248.1199999999999</c:v>
                </c:pt>
                <c:pt idx="32">
                  <c:v>1381.42</c:v>
                </c:pt>
                <c:pt idx="33">
                  <c:v>1364.92</c:v>
                </c:pt>
                <c:pt idx="34">
                  <c:v>3325.73</c:v>
                </c:pt>
                <c:pt idx="35">
                  <c:v>1412.03</c:v>
                </c:pt>
                <c:pt idx="36">
                  <c:v>635.53</c:v>
                </c:pt>
                <c:pt idx="37">
                  <c:v>3435.4700000000003</c:v>
                </c:pt>
                <c:pt idx="38">
                  <c:v>2610.12</c:v>
                </c:pt>
                <c:pt idx="39">
                  <c:v>504.96</c:v>
                </c:pt>
                <c:pt idx="40">
                  <c:v>4055.41</c:v>
                </c:pt>
                <c:pt idx="41">
                  <c:v>2516.3900000000003</c:v>
                </c:pt>
                <c:pt idx="42">
                  <c:v>1239.1500000000001</c:v>
                </c:pt>
                <c:pt idx="43">
                  <c:v>3049.83</c:v>
                </c:pt>
                <c:pt idx="44">
                  <c:v>1752.36</c:v>
                </c:pt>
                <c:pt idx="45">
                  <c:v>1533.29</c:v>
                </c:pt>
                <c:pt idx="46">
                  <c:v>2466.48</c:v>
                </c:pt>
                <c:pt idx="47">
                  <c:v>1202.08</c:v>
                </c:pt>
                <c:pt idx="48">
                  <c:v>764.08</c:v>
                </c:pt>
                <c:pt idx="49">
                  <c:v>295.43</c:v>
                </c:pt>
                <c:pt idx="50">
                  <c:v>562.15</c:v>
                </c:pt>
                <c:pt idx="51">
                  <c:v>1150.8399999999999</c:v>
                </c:pt>
                <c:pt idx="52">
                  <c:v>237.22</c:v>
                </c:pt>
                <c:pt idx="53">
                  <c:v>1451.38</c:v>
                </c:pt>
                <c:pt idx="54">
                  <c:v>513.99</c:v>
                </c:pt>
                <c:pt idx="55">
                  <c:v>507.41</c:v>
                </c:pt>
                <c:pt idx="56">
                  <c:v>29.48</c:v>
                </c:pt>
                <c:pt idx="57">
                  <c:v>725.35</c:v>
                </c:pt>
                <c:pt idx="58">
                  <c:v>575.34</c:v>
                </c:pt>
                <c:pt idx="59">
                  <c:v>2248.39</c:v>
                </c:pt>
                <c:pt idx="60">
                  <c:v>1152.6500000000001</c:v>
                </c:pt>
                <c:pt idx="61">
                  <c:v>2573.44</c:v>
                </c:pt>
                <c:pt idx="62">
                  <c:v>906.08</c:v>
                </c:pt>
                <c:pt idx="63">
                  <c:v>363.34</c:v>
                </c:pt>
                <c:pt idx="64">
                  <c:v>157.07</c:v>
                </c:pt>
                <c:pt idx="65">
                  <c:v>2924.38</c:v>
                </c:pt>
                <c:pt idx="66">
                  <c:v>597.54999999999995</c:v>
                </c:pt>
                <c:pt idx="67">
                  <c:v>1993.01</c:v>
                </c:pt>
                <c:pt idx="68">
                  <c:v>1054.01</c:v>
                </c:pt>
                <c:pt idx="69">
                  <c:v>316.43</c:v>
                </c:pt>
                <c:pt idx="70">
                  <c:v>2981.54</c:v>
                </c:pt>
                <c:pt idx="71">
                  <c:v>557.77</c:v>
                </c:pt>
                <c:pt idx="72">
                  <c:v>1651.0700000000002</c:v>
                </c:pt>
                <c:pt idx="73">
                  <c:v>4650.6400000000003</c:v>
                </c:pt>
                <c:pt idx="74">
                  <c:v>2806.77</c:v>
                </c:pt>
                <c:pt idx="75">
                  <c:v>6513.2699999999995</c:v>
                </c:pt>
              </c:numCache>
            </c:numRef>
          </c:val>
        </c:ser>
        <c:ser>
          <c:idx val="2"/>
          <c:order val="2"/>
          <c:tx>
            <c:strRef>
              <c:f>PivotTable!$S$3:$S$4</c:f>
              <c:strCache>
                <c:ptCount val="1"/>
                <c:pt idx="0">
                  <c:v>Count of id_client</c:v>
                </c:pt>
              </c:strCache>
            </c:strRef>
          </c:tx>
          <c:cat>
            <c:strRef>
              <c:f>PivotTable!$P$5:$P$81</c:f>
              <c:strCache>
                <c:ptCount val="7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9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28</c:v>
                </c:pt>
                <c:pt idx="21">
                  <c:v>32</c:v>
                </c:pt>
                <c:pt idx="22">
                  <c:v>33</c:v>
                </c:pt>
                <c:pt idx="23">
                  <c:v>34</c:v>
                </c:pt>
                <c:pt idx="24">
                  <c:v>36</c:v>
                </c:pt>
                <c:pt idx="25">
                  <c:v>37</c:v>
                </c:pt>
                <c:pt idx="26">
                  <c:v>39</c:v>
                </c:pt>
                <c:pt idx="27">
                  <c:v>40</c:v>
                </c:pt>
                <c:pt idx="28">
                  <c:v>41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51</c:v>
                </c:pt>
                <c:pt idx="37">
                  <c:v>52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61</c:v>
                </c:pt>
                <c:pt idx="45">
                  <c:v>62</c:v>
                </c:pt>
                <c:pt idx="46">
                  <c:v>64</c:v>
                </c:pt>
                <c:pt idx="47">
                  <c:v>66</c:v>
                </c:pt>
                <c:pt idx="48">
                  <c:v>68</c:v>
                </c:pt>
                <c:pt idx="49">
                  <c:v>69</c:v>
                </c:pt>
                <c:pt idx="50">
                  <c:v>71</c:v>
                </c:pt>
                <c:pt idx="51">
                  <c:v>72</c:v>
                </c:pt>
                <c:pt idx="52">
                  <c:v>73</c:v>
                </c:pt>
                <c:pt idx="53">
                  <c:v>74</c:v>
                </c:pt>
                <c:pt idx="54">
                  <c:v>76</c:v>
                </c:pt>
                <c:pt idx="55">
                  <c:v>77</c:v>
                </c:pt>
                <c:pt idx="56">
                  <c:v>78</c:v>
                </c:pt>
                <c:pt idx="57">
                  <c:v>79</c:v>
                </c:pt>
                <c:pt idx="58">
                  <c:v>80</c:v>
                </c:pt>
                <c:pt idx="59">
                  <c:v>83</c:v>
                </c:pt>
                <c:pt idx="60">
                  <c:v>84</c:v>
                </c:pt>
                <c:pt idx="61">
                  <c:v>85</c:v>
                </c:pt>
                <c:pt idx="62">
                  <c:v>86</c:v>
                </c:pt>
                <c:pt idx="63">
                  <c:v>87</c:v>
                </c:pt>
                <c:pt idx="64">
                  <c:v>88</c:v>
                </c:pt>
                <c:pt idx="65">
                  <c:v>89</c:v>
                </c:pt>
                <c:pt idx="66">
                  <c:v>90</c:v>
                </c:pt>
                <c:pt idx="67">
                  <c:v>91</c:v>
                </c:pt>
                <c:pt idx="68">
                  <c:v>92</c:v>
                </c:pt>
                <c:pt idx="69">
                  <c:v>93</c:v>
                </c:pt>
                <c:pt idx="70">
                  <c:v>94</c:v>
                </c:pt>
                <c:pt idx="71">
                  <c:v>95</c:v>
                </c:pt>
                <c:pt idx="72">
                  <c:v>96</c:v>
                </c:pt>
                <c:pt idx="73">
                  <c:v>98</c:v>
                </c:pt>
                <c:pt idx="74">
                  <c:v>99</c:v>
                </c:pt>
                <c:pt idx="75">
                  <c:v>100</c:v>
                </c:pt>
              </c:strCache>
            </c:strRef>
          </c:cat>
          <c:val>
            <c:numRef>
              <c:f>PivotTable!$S$5:$S$81</c:f>
              <c:numCache>
                <c:formatCode>General</c:formatCode>
                <c:ptCount val="7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3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3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  <c:pt idx="34">
                  <c:v>3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1</c:v>
                </c:pt>
                <c:pt idx="43">
                  <c:v>3</c:v>
                </c:pt>
                <c:pt idx="44">
                  <c:v>3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2</c:v>
                </c:pt>
                <c:pt idx="52">
                  <c:v>1</c:v>
                </c:pt>
                <c:pt idx="53">
                  <c:v>3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3</c:v>
                </c:pt>
                <c:pt idx="61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3</c:v>
                </c:pt>
                <c:pt idx="66">
                  <c:v>1</c:v>
                </c:pt>
                <c:pt idx="67">
                  <c:v>3</c:v>
                </c:pt>
                <c:pt idx="68">
                  <c:v>2</c:v>
                </c:pt>
                <c:pt idx="69">
                  <c:v>1</c:v>
                </c:pt>
                <c:pt idx="70">
                  <c:v>2</c:v>
                </c:pt>
                <c:pt idx="71">
                  <c:v>1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</c:numCache>
            </c:numRef>
          </c:val>
        </c:ser>
        <c:overlap val="100"/>
        <c:axId val="181882240"/>
        <c:axId val="182014336"/>
      </c:barChart>
      <c:catAx>
        <c:axId val="181882240"/>
        <c:scaling>
          <c:orientation val="minMax"/>
        </c:scaling>
        <c:axPos val="b"/>
        <c:tickLblPos val="nextTo"/>
        <c:crossAx val="182014336"/>
        <c:crosses val="autoZero"/>
        <c:auto val="1"/>
        <c:lblAlgn val="ctr"/>
        <c:lblOffset val="100"/>
      </c:catAx>
      <c:valAx>
        <c:axId val="182014336"/>
        <c:scaling>
          <c:orientation val="minMax"/>
        </c:scaling>
        <c:axPos val="l"/>
        <c:majorGridlines/>
        <c:numFmt formatCode="General" sourceLinked="1"/>
        <c:tickLblPos val="nextTo"/>
        <c:crossAx val="18188224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pivotSource>
    <c:name>[SSD_Banca_PROIECT.xlsx]PivotTable!PivotTable4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Distribuția soldurilor pe tipuri de cont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  <c:dLbl>
          <c:idx val="0"/>
          <c:showVal val="1"/>
        </c:dLbl>
      </c:pivotFmt>
      <c:pivotFmt>
        <c:idx val="3"/>
        <c:dLbl>
          <c:idx val="0"/>
          <c:showVal val="1"/>
        </c:dLbl>
      </c:pivotFmt>
      <c:pivotFmt>
        <c:idx val="4"/>
        <c:dLbl>
          <c:idx val="0"/>
          <c:layout/>
          <c:showPercent val="1"/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PivotTable!$C$3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PivotTable!$B$4:$B$6</c:f>
              <c:strCache>
                <c:ptCount val="2"/>
                <c:pt idx="0">
                  <c:v>curent</c:v>
                </c:pt>
                <c:pt idx="1">
                  <c:v>economii</c:v>
                </c:pt>
              </c:strCache>
            </c:strRef>
          </c:cat>
          <c:val>
            <c:numRef>
              <c:f>PivotTable!$C$4:$C$6</c:f>
              <c:numCache>
                <c:formatCode>General</c:formatCode>
                <c:ptCount val="2"/>
                <c:pt idx="0">
                  <c:v>2126745.0799999991</c:v>
                </c:pt>
                <c:pt idx="1">
                  <c:v>2399962.4000000008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pivotSource>
    <c:name>[SSD_Banca_PROIECT.xlsx]PivotTable!PivotTable6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Analiza tranzacțiilor</a:t>
            </a:r>
          </a:p>
        </c:rich>
      </c:tx>
      <c:layout/>
    </c:title>
    <c:pivotFmts>
      <c:pivotFmt>
        <c:idx val="0"/>
        <c:dLbl>
          <c:idx val="0"/>
          <c:showVal val="1"/>
        </c:dLbl>
      </c:pivotFmt>
      <c:pivotFmt>
        <c:idx val="1"/>
        <c:dLbl>
          <c:idx val="0"/>
          <c:showVal val="1"/>
        </c:dLbl>
      </c:pivotFmt>
      <c:pivotFmt>
        <c:idx val="2"/>
        <c:dLbl>
          <c:idx val="0"/>
          <c:showVal val="1"/>
        </c:dLbl>
      </c:pivotFmt>
      <c:pivotFmt>
        <c:idx val="3"/>
        <c:dLbl>
          <c:idx val="0"/>
          <c:showVal val="1"/>
        </c:dLbl>
      </c:pivotFmt>
      <c:pivotFmt>
        <c:idx val="4"/>
        <c:dLbl>
          <c:idx val="0"/>
          <c:layout/>
          <c:showPercent val="1"/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PivotTable!$C$25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PivotTable!$B$26:$B$29</c:f>
              <c:strCache>
                <c:ptCount val="3"/>
                <c:pt idx="0">
                  <c:v>depunere</c:v>
                </c:pt>
                <c:pt idx="1">
                  <c:v>retragere</c:v>
                </c:pt>
                <c:pt idx="2">
                  <c:v>transfer</c:v>
                </c:pt>
              </c:strCache>
            </c:strRef>
          </c:cat>
          <c:val>
            <c:numRef>
              <c:f>PivotTable!$C$26:$C$29</c:f>
              <c:numCache>
                <c:formatCode>General</c:formatCode>
                <c:ptCount val="3"/>
                <c:pt idx="0">
                  <c:v>495869.41999999952</c:v>
                </c:pt>
                <c:pt idx="1">
                  <c:v>483425.51000000018</c:v>
                </c:pt>
                <c:pt idx="2">
                  <c:v>524234.06000000041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0</xdr:row>
      <xdr:rowOff>152400</xdr:rowOff>
    </xdr:from>
    <xdr:to>
      <xdr:col>11</xdr:col>
      <xdr:colOff>434340</xdr:colOff>
      <xdr:row>15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</xdr:colOff>
      <xdr:row>20</xdr:row>
      <xdr:rowOff>152400</xdr:rowOff>
    </xdr:from>
    <xdr:to>
      <xdr:col>11</xdr:col>
      <xdr:colOff>350520</xdr:colOff>
      <xdr:row>35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167640</xdr:colOff>
      <xdr:row>2</xdr:row>
      <xdr:rowOff>121920</xdr:rowOff>
    </xdr:from>
    <xdr:to>
      <xdr:col>26</xdr:col>
      <xdr:colOff>472440</xdr:colOff>
      <xdr:row>17</xdr:row>
      <xdr:rowOff>121920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0.17</cdr:x>
      <cdr:y>0.075</cdr:y>
    </cdr:from>
    <cdr:to>
      <cdr:x>0.98333</cdr:x>
      <cdr:y>0.15833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77240" y="205740"/>
          <a:ext cx="371856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ro-RO" sz="1400" b="1"/>
            <a:t>D</a:t>
          </a:r>
          <a:r>
            <a:rPr lang="en-US" sz="1400" b="1"/>
            <a:t>istribu</a:t>
          </a:r>
          <a:r>
            <a:rPr lang="ro-RO" sz="1400" b="1"/>
            <a:t>ția</a:t>
          </a:r>
          <a:r>
            <a:rPr lang="en-US" sz="1400" b="1"/>
            <a:t> creditel</a:t>
          </a:r>
          <a:r>
            <a:rPr lang="ro-RO" sz="1400" b="1"/>
            <a:t>or</a:t>
          </a:r>
          <a:r>
            <a:rPr lang="en-US" sz="1400" b="1"/>
            <a:t> și ratel</a:t>
          </a:r>
          <a:r>
            <a:rPr lang="ro-RO" sz="1400" b="1"/>
            <a:t>or</a:t>
          </a:r>
          <a:r>
            <a:rPr lang="en-US" sz="1400" b="1"/>
            <a:t> lunare per client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18</xdr:col>
      <xdr:colOff>304800</xdr:colOff>
      <xdr:row>16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14</xdr:col>
      <xdr:colOff>304800</xdr:colOff>
      <xdr:row>36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15240</xdr:colOff>
      <xdr:row>17</xdr:row>
      <xdr:rowOff>30480</xdr:rowOff>
    </xdr:from>
    <xdr:to>
      <xdr:col>6</xdr:col>
      <xdr:colOff>68580</xdr:colOff>
      <xdr:row>32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22860</xdr:colOff>
      <xdr:row>16</xdr:row>
      <xdr:rowOff>152400</xdr:rowOff>
    </xdr:from>
    <xdr:to>
      <xdr:col>20</xdr:col>
      <xdr:colOff>91440</xdr:colOff>
      <xdr:row>32</xdr:row>
      <xdr:rowOff>38100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259976</xdr:colOff>
      <xdr:row>18</xdr:row>
      <xdr:rowOff>26894</xdr:rowOff>
    </xdr:from>
    <xdr:to>
      <xdr:col>12</xdr:col>
      <xdr:colOff>358588</xdr:colOff>
      <xdr:row>20</xdr:row>
      <xdr:rowOff>8965</xdr:rowOff>
    </xdr:to>
    <xdr:sp macro="" textlink="">
      <xdr:nvSpPr>
        <xdr:cNvPr id="8" name="TextBox 7"/>
        <xdr:cNvSpPr txBox="1"/>
      </xdr:nvSpPr>
      <xdr:spPr>
        <a:xfrm>
          <a:off x="5136776" y="3254188"/>
          <a:ext cx="2537012" cy="340659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ro-RO" sz="1400" b="1">
              <a:solidFill>
                <a:schemeClr val="accent6">
                  <a:lumMod val="75000"/>
                </a:schemeClr>
              </a:solidFill>
              <a:latin typeface="+mj-lt"/>
            </a:rPr>
            <a:t>DashBoard Bancă ING</a:t>
          </a:r>
          <a:endParaRPr lang="en-US" sz="1400" b="1">
            <a:solidFill>
              <a:schemeClr val="accent6">
                <a:lumMod val="75000"/>
              </a:schemeClr>
            </a:solidFill>
            <a:latin typeface="+mj-lt"/>
          </a:endParaRPr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0.17</cdr:x>
      <cdr:y>0.075</cdr:y>
    </cdr:from>
    <cdr:to>
      <cdr:x>0.98333</cdr:x>
      <cdr:y>0.15833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77240" y="205740"/>
          <a:ext cx="371856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ro-RO" sz="1400" b="1"/>
            <a:t>D</a:t>
          </a:r>
          <a:r>
            <a:rPr lang="en-US" sz="1400" b="1"/>
            <a:t>istribu</a:t>
          </a:r>
          <a:r>
            <a:rPr lang="ro-RO" sz="1400" b="1"/>
            <a:t>ția</a:t>
          </a:r>
          <a:r>
            <a:rPr lang="en-US" sz="1400" b="1"/>
            <a:t> creditel</a:t>
          </a:r>
          <a:r>
            <a:rPr lang="ro-RO" sz="1400" b="1"/>
            <a:t>or</a:t>
          </a:r>
          <a:r>
            <a:rPr lang="en-US" sz="1400" b="1"/>
            <a:t> și ratel</a:t>
          </a:r>
          <a:r>
            <a:rPr lang="ro-RO" sz="1400" b="1"/>
            <a:t>or</a:t>
          </a:r>
          <a:r>
            <a:rPr lang="en-US" sz="1400" b="1"/>
            <a:t> lunare per client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26.499191435185" createdVersion="3" refreshedVersion="3" minRefreshableVersion="3" recordCount="197">
  <cacheSource type="worksheet">
    <worksheetSource ref="C1:D198" sheet="Conturi"/>
  </cacheSource>
  <cacheFields count="2">
    <cacheField name="tip_cont" numFmtId="0">
      <sharedItems count="2">
        <s v="curent"/>
        <s v="economii"/>
      </sharedItems>
    </cacheField>
    <cacheField name="sold" numFmtId="0">
      <sharedItems containsSemiMixedTypes="0" containsString="0" containsNumber="1" minValue="374.95" maxValue="49576.77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026.511379166666" createdVersion="3" refreshedVersion="3" minRefreshableVersion="3" recordCount="592">
  <cacheSource type="worksheet">
    <worksheetSource ref="D1:F593" sheet="Tranzactii"/>
  </cacheSource>
  <cacheFields count="3">
    <cacheField name="suma" numFmtId="0">
      <sharedItems containsSemiMixedTypes="0" containsString="0" containsNumber="1" minValue="13.97" maxValue="4988.33"/>
    </cacheField>
    <cacheField name="data_tranzactiei" numFmtId="164">
      <sharedItems containsSemiMixedTypes="0" containsNonDate="0" containsDate="1" containsString="0" minDate="2022-01-01T00:00:00" maxDate="2023-01-01T00:00:00" count="289">
        <d v="2022-10-29T00:00:00"/>
        <d v="2022-10-17T00:00:00"/>
        <d v="2022-08-10T00:00:00"/>
        <d v="2022-10-18T00:00:00"/>
        <d v="2022-06-12T00:00:00"/>
        <d v="2022-11-27T00:00:00"/>
        <d v="2022-11-07T00:00:00"/>
        <d v="2022-11-19T00:00:00"/>
        <d v="2022-08-03T00:00:00"/>
        <d v="2022-03-05T00:00:00"/>
        <d v="2022-04-24T00:00:00"/>
        <d v="2022-12-19T00:00:00"/>
        <d v="2022-08-13T00:00:00"/>
        <d v="2022-02-01T00:00:00"/>
        <d v="2022-02-26T00:00:00"/>
        <d v="2022-11-22T00:00:00"/>
        <d v="2022-11-05T00:00:00"/>
        <d v="2022-11-03T00:00:00"/>
        <d v="2022-03-18T00:00:00"/>
        <d v="2022-01-09T00:00:00"/>
        <d v="2022-07-10T00:00:00"/>
        <d v="2022-06-14T00:00:00"/>
        <d v="2022-11-11T00:00:00"/>
        <d v="2022-10-20T00:00:00"/>
        <d v="2022-06-05T00:00:00"/>
        <d v="2022-01-12T00:00:00"/>
        <d v="2022-08-02T00:00:00"/>
        <d v="2022-02-02T00:00:00"/>
        <d v="2022-12-29T00:00:00"/>
        <d v="2022-05-22T00:00:00"/>
        <d v="2022-05-28T00:00:00"/>
        <d v="2022-06-13T00:00:00"/>
        <d v="2022-04-03T00:00:00"/>
        <d v="2022-06-19T00:00:00"/>
        <d v="2022-09-25T00:00:00"/>
        <d v="2022-11-20T00:00:00"/>
        <d v="2022-11-26T00:00:00"/>
        <d v="2022-12-22T00:00:00"/>
        <d v="2022-03-28T00:00:00"/>
        <d v="2022-10-22T00:00:00"/>
        <d v="2022-10-10T00:00:00"/>
        <d v="2022-04-15T00:00:00"/>
        <d v="2022-09-16T00:00:00"/>
        <d v="2022-06-10T00:00:00"/>
        <d v="2022-08-20T00:00:00"/>
        <d v="2022-02-21T00:00:00"/>
        <d v="2022-12-31T00:00:00"/>
        <d v="2022-09-30T00:00:00"/>
        <d v="2022-02-08T00:00:00"/>
        <d v="2022-02-22T00:00:00"/>
        <d v="2022-05-25T00:00:00"/>
        <d v="2022-03-31T00:00:00"/>
        <d v="2022-12-21T00:00:00"/>
        <d v="2022-04-19T00:00:00"/>
        <d v="2022-01-27T00:00:00"/>
        <d v="2022-03-24T00:00:00"/>
        <d v="2022-06-17T00:00:00"/>
        <d v="2022-02-09T00:00:00"/>
        <d v="2022-06-27T00:00:00"/>
        <d v="2022-03-12T00:00:00"/>
        <d v="2022-06-11T00:00:00"/>
        <d v="2022-11-18T00:00:00"/>
        <d v="2022-09-06T00:00:00"/>
        <d v="2022-05-05T00:00:00"/>
        <d v="2022-03-11T00:00:00"/>
        <d v="2022-08-18T00:00:00"/>
        <d v="2022-03-25T00:00:00"/>
        <d v="2022-02-12T00:00:00"/>
        <d v="2022-08-14T00:00:00"/>
        <d v="2022-12-12T00:00:00"/>
        <d v="2022-06-03T00:00:00"/>
        <d v="2022-08-05T00:00:00"/>
        <d v="2022-12-18T00:00:00"/>
        <d v="2022-08-22T00:00:00"/>
        <d v="2022-02-03T00:00:00"/>
        <d v="2022-09-10T00:00:00"/>
        <d v="2022-11-24T00:00:00"/>
        <d v="2022-05-10T00:00:00"/>
        <d v="2022-01-25T00:00:00"/>
        <d v="2022-09-12T00:00:00"/>
        <d v="2022-10-24T00:00:00"/>
        <d v="2022-06-30T00:00:00"/>
        <d v="2022-04-13T00:00:00"/>
        <d v="2022-03-16T00:00:00"/>
        <d v="2022-04-26T00:00:00"/>
        <d v="2022-11-10T00:00:00"/>
        <d v="2022-01-17T00:00:00"/>
        <d v="2022-01-28T00:00:00"/>
        <d v="2022-07-13T00:00:00"/>
        <d v="2022-02-27T00:00:00"/>
        <d v="2022-09-13T00:00:00"/>
        <d v="2022-06-02T00:00:00"/>
        <d v="2022-08-15T00:00:00"/>
        <d v="2022-04-16T00:00:00"/>
        <d v="2022-08-25T00:00:00"/>
        <d v="2022-05-12T00:00:00"/>
        <d v="2022-03-13T00:00:00"/>
        <d v="2022-09-18T00:00:00"/>
        <d v="2022-06-16T00:00:00"/>
        <d v="2022-01-04T00:00:00"/>
        <d v="2022-05-21T00:00:00"/>
        <d v="2022-07-29T00:00:00"/>
        <d v="2022-08-21T00:00:00"/>
        <d v="2022-01-19T00:00:00"/>
        <d v="2022-01-26T00:00:00"/>
        <d v="2022-05-11T00:00:00"/>
        <d v="2022-08-27T00:00:00"/>
        <d v="2022-12-07T00:00:00"/>
        <d v="2022-07-31T00:00:00"/>
        <d v="2022-08-31T00:00:00"/>
        <d v="2022-12-13T00:00:00"/>
        <d v="2022-05-02T00:00:00"/>
        <d v="2022-03-17T00:00:00"/>
        <d v="2022-11-30T00:00:00"/>
        <d v="2022-02-06T00:00:00"/>
        <d v="2022-08-23T00:00:00"/>
        <d v="2022-02-14T00:00:00"/>
        <d v="2022-09-23T00:00:00"/>
        <d v="2022-09-04T00:00:00"/>
        <d v="2022-02-28T00:00:00"/>
        <d v="2022-10-23T00:00:00"/>
        <d v="2022-10-03T00:00:00"/>
        <d v="2022-05-15T00:00:00"/>
        <d v="2022-07-05T00:00:00"/>
        <d v="2022-07-25T00:00:00"/>
        <d v="2022-12-16T00:00:00"/>
        <d v="2022-05-26T00:00:00"/>
        <d v="2022-09-29T00:00:00"/>
        <d v="2022-01-15T00:00:00"/>
        <d v="2022-12-17T00:00:00"/>
        <d v="2022-03-14T00:00:00"/>
        <d v="2022-07-07T00:00:00"/>
        <d v="2022-04-14T00:00:00"/>
        <d v="2022-12-23T00:00:00"/>
        <d v="2022-09-02T00:00:00"/>
        <d v="2022-04-20T00:00:00"/>
        <d v="2022-12-25T00:00:00"/>
        <d v="2022-01-13T00:00:00"/>
        <d v="2022-12-27T00:00:00"/>
        <d v="2022-04-09T00:00:00"/>
        <d v="2022-09-09T00:00:00"/>
        <d v="2022-09-24T00:00:00"/>
        <d v="2022-08-06T00:00:00"/>
        <d v="2022-03-08T00:00:00"/>
        <d v="2022-05-19T00:00:00"/>
        <d v="2022-12-02T00:00:00"/>
        <d v="2022-01-29T00:00:00"/>
        <d v="2022-12-24T00:00:00"/>
        <d v="2022-10-05T00:00:00"/>
        <d v="2022-06-09T00:00:00"/>
        <d v="2022-07-19T00:00:00"/>
        <d v="2022-04-11T00:00:00"/>
        <d v="2022-09-26T00:00:00"/>
        <d v="2022-07-24T00:00:00"/>
        <d v="2022-10-09T00:00:00"/>
        <d v="2022-11-08T00:00:00"/>
        <d v="2022-01-24T00:00:00"/>
        <d v="2022-08-08T00:00:00"/>
        <d v="2022-07-28T00:00:00"/>
        <d v="2022-05-31T00:00:00"/>
        <d v="2022-07-09T00:00:00"/>
        <d v="2022-06-07T00:00:00"/>
        <d v="2022-08-28T00:00:00"/>
        <d v="2022-01-01T00:00:00"/>
        <d v="2022-01-31T00:00:00"/>
        <d v="2022-04-28T00:00:00"/>
        <d v="2022-06-06T00:00:00"/>
        <d v="2022-10-19T00:00:00"/>
        <d v="2022-08-26T00:00:00"/>
        <d v="2022-08-01T00:00:00"/>
        <d v="2022-08-04T00:00:00"/>
        <d v="2022-06-28T00:00:00"/>
        <d v="2022-05-30T00:00:00"/>
        <d v="2022-06-26T00:00:00"/>
        <d v="2022-03-20T00:00:00"/>
        <d v="2022-01-18T00:00:00"/>
        <d v="2022-05-16T00:00:00"/>
        <d v="2022-09-14T00:00:00"/>
        <d v="2022-02-04T00:00:00"/>
        <d v="2022-01-21T00:00:00"/>
        <d v="2022-06-22T00:00:00"/>
        <d v="2022-11-09T00:00:00"/>
        <d v="2022-08-24T00:00:00"/>
        <d v="2022-01-08T00:00:00"/>
        <d v="2022-07-30T00:00:00"/>
        <d v="2022-03-30T00:00:00"/>
        <d v="2022-04-01T00:00:00"/>
        <d v="2022-10-01T00:00:00"/>
        <d v="2022-11-17T00:00:00"/>
        <d v="2022-05-17T00:00:00"/>
        <d v="2022-05-09T00:00:00"/>
        <d v="2022-11-04T00:00:00"/>
        <d v="2022-06-08T00:00:00"/>
        <d v="2022-03-22T00:00:00"/>
        <d v="2022-09-21T00:00:00"/>
        <d v="2022-08-30T00:00:00"/>
        <d v="2022-10-27T00:00:00"/>
        <d v="2022-07-20T00:00:00"/>
        <d v="2022-08-12T00:00:00"/>
        <d v="2022-10-04T00:00:00"/>
        <d v="2022-03-21T00:00:00"/>
        <d v="2022-04-12T00:00:00"/>
        <d v="2022-10-06T00:00:00"/>
        <d v="2022-10-08T00:00:00"/>
        <d v="2022-06-20T00:00:00"/>
        <d v="2022-09-22T00:00:00"/>
        <d v="2022-07-16T00:00:00"/>
        <d v="2022-07-22T00:00:00"/>
        <d v="2022-04-05T00:00:00"/>
        <d v="2022-10-14T00:00:00"/>
        <d v="2022-11-23T00:00:00"/>
        <d v="2022-12-09T00:00:00"/>
        <d v="2022-02-20T00:00:00"/>
        <d v="2022-03-26T00:00:00"/>
        <d v="2022-07-02T00:00:00"/>
        <d v="2022-03-09T00:00:00"/>
        <d v="2022-11-16T00:00:00"/>
        <d v="2022-05-20T00:00:00"/>
        <d v="2022-04-22T00:00:00"/>
        <d v="2022-12-06T00:00:00"/>
        <d v="2022-03-23T00:00:00"/>
        <d v="2022-03-07T00:00:00"/>
        <d v="2022-10-31T00:00:00"/>
        <d v="2022-01-23T00:00:00"/>
        <d v="2022-07-18T00:00:00"/>
        <d v="2022-12-30T00:00:00"/>
        <d v="2022-09-07T00:00:00"/>
        <d v="2022-09-20T00:00:00"/>
        <d v="2022-05-01T00:00:00"/>
        <d v="2022-06-25T00:00:00"/>
        <d v="2022-08-09T00:00:00"/>
        <d v="2022-04-02T00:00:00"/>
        <d v="2022-06-21T00:00:00"/>
        <d v="2022-02-11T00:00:00"/>
        <d v="2022-02-13T00:00:00"/>
        <d v="2022-05-08T00:00:00"/>
        <d v="2022-05-27T00:00:00"/>
        <d v="2022-09-11T00:00:00"/>
        <d v="2022-11-15T00:00:00"/>
        <d v="2022-05-04T00:00:00"/>
        <d v="2022-08-16T00:00:00"/>
        <d v="2022-07-21T00:00:00"/>
        <d v="2022-09-05T00:00:00"/>
        <d v="2022-03-10T00:00:00"/>
        <d v="2022-03-01T00:00:00"/>
        <d v="2022-11-25T00:00:00"/>
        <d v="2022-08-11T00:00:00"/>
        <d v="2022-10-21T00:00:00"/>
        <d v="2022-12-26T00:00:00"/>
        <d v="2022-12-20T00:00:00"/>
        <d v="2022-11-02T00:00:00"/>
        <d v="2022-09-15T00:00:00"/>
        <d v="2022-07-15T00:00:00"/>
        <d v="2022-10-26T00:00:00"/>
        <d v="2022-12-10T00:00:00"/>
        <d v="2022-03-04T00:00:00"/>
        <d v="2022-12-08T00:00:00"/>
        <d v="2022-02-18T00:00:00"/>
        <d v="2022-04-04T00:00:00"/>
        <d v="2022-06-23T00:00:00"/>
        <d v="2022-07-01T00:00:00"/>
        <d v="2022-03-06T00:00:00"/>
        <d v="2022-01-11T00:00:00"/>
        <d v="2022-11-01T00:00:00"/>
        <d v="2022-04-27T00:00:00"/>
        <d v="2022-12-05T00:00:00"/>
        <d v="2022-05-03T00:00:00"/>
        <d v="2022-10-28T00:00:00"/>
        <d v="2022-07-26T00:00:00"/>
        <d v="2022-07-17T00:00:00"/>
        <d v="2022-04-25T00:00:00"/>
        <d v="2022-03-27T00:00:00"/>
        <d v="2022-01-03T00:00:00"/>
        <d v="2022-12-04T00:00:00"/>
        <d v="2022-05-29T00:00:00"/>
        <d v="2022-09-01T00:00:00"/>
        <d v="2022-02-23T00:00:00"/>
        <d v="2022-07-12T00:00:00"/>
        <d v="2022-04-30T00:00:00"/>
        <d v="2022-02-25T00:00:00"/>
        <d v="2022-10-02T00:00:00"/>
        <d v="2022-06-15T00:00:00"/>
        <d v="2022-07-14T00:00:00"/>
        <d v="2022-12-28T00:00:00"/>
        <d v="2022-09-08T00:00:00"/>
        <d v="2022-03-15T00:00:00"/>
        <d v="2022-06-29T00:00:00"/>
        <d v="2022-05-14T00:00:00"/>
        <d v="2022-11-28T00:00:00"/>
      </sharedItems>
    </cacheField>
    <cacheField name="tip_tranzactie" numFmtId="0">
      <sharedItems count="3">
        <s v="retragere"/>
        <s v="transfer"/>
        <s v="depunere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dmin" refreshedDate="46026.516213657407" createdVersion="3" refreshedVersion="3" minRefreshableVersion="3" recordCount="138">
  <cacheSource type="worksheet">
    <worksheetSource ref="B1:D139" sheet="Credite"/>
  </cacheSource>
  <cacheFields count="3">
    <cacheField name="id_client" numFmtId="0">
      <sharedItems containsSemiMixedTypes="0" containsString="0" containsNumber="1" containsInteger="1" minValue="1" maxValue="100" count="76">
        <n v="1"/>
        <n v="2"/>
        <n v="4"/>
        <n v="6"/>
        <n v="7"/>
        <n v="9"/>
        <n v="12"/>
        <n v="13"/>
        <n v="14"/>
        <n v="15"/>
        <n v="17"/>
        <n v="18"/>
        <n v="19"/>
        <n v="20"/>
        <n v="21"/>
        <n v="23"/>
        <n v="24"/>
        <n v="25"/>
        <n v="26"/>
        <n v="27"/>
        <n v="28"/>
        <n v="32"/>
        <n v="33"/>
        <n v="34"/>
        <n v="36"/>
        <n v="37"/>
        <n v="39"/>
        <n v="40"/>
        <n v="41"/>
        <n v="43"/>
        <n v="44"/>
        <n v="45"/>
        <n v="46"/>
        <n v="47"/>
        <n v="48"/>
        <n v="49"/>
        <n v="51"/>
        <n v="52"/>
        <n v="54"/>
        <n v="55"/>
        <n v="56"/>
        <n v="57"/>
        <n v="58"/>
        <n v="59"/>
        <n v="61"/>
        <n v="62"/>
        <n v="64"/>
        <n v="66"/>
        <n v="68"/>
        <n v="69"/>
        <n v="71"/>
        <n v="72"/>
        <n v="73"/>
        <n v="74"/>
        <n v="76"/>
        <n v="77"/>
        <n v="78"/>
        <n v="79"/>
        <n v="80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8"/>
        <n v="99"/>
        <n v="100"/>
      </sharedItems>
    </cacheField>
    <cacheField name="suma_credit" numFmtId="0">
      <sharedItems containsSemiMixedTypes="0" containsString="0" containsNumber="1" minValue="1025.07" maxValue="49703.15"/>
    </cacheField>
    <cacheField name="rata_lunara" numFmtId="0">
      <sharedItems containsSemiMixedTypes="0" containsString="0" containsNumber="1" minValue="19.71" maxValue="4141.9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7">
  <r>
    <x v="0"/>
    <n v="1500.5"/>
  </r>
  <r>
    <x v="1"/>
    <n v="5000.75"/>
  </r>
  <r>
    <x v="0"/>
    <n v="1200"/>
  </r>
  <r>
    <x v="1"/>
    <n v="3000"/>
  </r>
  <r>
    <x v="0"/>
    <n v="4500.25"/>
  </r>
  <r>
    <x v="1"/>
    <n v="7000"/>
  </r>
  <r>
    <x v="0"/>
    <n v="2200.5"/>
  </r>
  <r>
    <x v="0"/>
    <n v="3100.75"/>
  </r>
  <r>
    <x v="1"/>
    <n v="8100.5"/>
  </r>
  <r>
    <x v="0"/>
    <n v="4000"/>
  </r>
  <r>
    <x v="0"/>
    <n v="3300.25"/>
  </r>
  <r>
    <x v="1"/>
    <n v="9200"/>
  </r>
  <r>
    <x v="0"/>
    <n v="500"/>
  </r>
  <r>
    <x v="0"/>
    <n v="750"/>
  </r>
  <r>
    <x v="1"/>
    <n v="2500"/>
  </r>
  <r>
    <x v="1"/>
    <n v="13457.31"/>
  </r>
  <r>
    <x v="1"/>
    <n v="10362.58"/>
  </r>
  <r>
    <x v="1"/>
    <n v="48240.59"/>
  </r>
  <r>
    <x v="1"/>
    <n v="6969.16"/>
  </r>
  <r>
    <x v="1"/>
    <n v="15177.94"/>
  </r>
  <r>
    <x v="1"/>
    <n v="30165.8"/>
  </r>
  <r>
    <x v="0"/>
    <n v="47310.37"/>
  </r>
  <r>
    <x v="1"/>
    <n v="33844.99"/>
  </r>
  <r>
    <x v="0"/>
    <n v="31875.759999999998"/>
  </r>
  <r>
    <x v="0"/>
    <n v="8709.94"/>
  </r>
  <r>
    <x v="1"/>
    <n v="18952.36"/>
  </r>
  <r>
    <x v="1"/>
    <n v="32719.09"/>
  </r>
  <r>
    <x v="0"/>
    <n v="42633.35"/>
  </r>
  <r>
    <x v="0"/>
    <n v="23959.84"/>
  </r>
  <r>
    <x v="1"/>
    <n v="17031.740000000002"/>
  </r>
  <r>
    <x v="1"/>
    <n v="45876.29"/>
  </r>
  <r>
    <x v="1"/>
    <n v="5798.04"/>
  </r>
  <r>
    <x v="0"/>
    <n v="9691.09"/>
  </r>
  <r>
    <x v="1"/>
    <n v="14224.15"/>
  </r>
  <r>
    <x v="0"/>
    <n v="14180.69"/>
  </r>
  <r>
    <x v="1"/>
    <n v="49563.59"/>
  </r>
  <r>
    <x v="0"/>
    <n v="30873.29"/>
  </r>
  <r>
    <x v="1"/>
    <n v="2196.37"/>
  </r>
  <r>
    <x v="1"/>
    <n v="49576.77"/>
  </r>
  <r>
    <x v="0"/>
    <n v="668.56"/>
  </r>
  <r>
    <x v="1"/>
    <n v="30753.63"/>
  </r>
  <r>
    <x v="0"/>
    <n v="27298.94"/>
  </r>
  <r>
    <x v="1"/>
    <n v="31403.14"/>
  </r>
  <r>
    <x v="0"/>
    <n v="8653.98"/>
  </r>
  <r>
    <x v="0"/>
    <n v="31193.46"/>
  </r>
  <r>
    <x v="1"/>
    <n v="19799.55"/>
  </r>
  <r>
    <x v="1"/>
    <n v="49294.9"/>
  </r>
  <r>
    <x v="0"/>
    <n v="9207.06"/>
  </r>
  <r>
    <x v="0"/>
    <n v="26496.84"/>
  </r>
  <r>
    <x v="1"/>
    <n v="34720.54"/>
  </r>
  <r>
    <x v="1"/>
    <n v="47747.35"/>
  </r>
  <r>
    <x v="1"/>
    <n v="7701.95"/>
  </r>
  <r>
    <x v="1"/>
    <n v="15425.7"/>
  </r>
  <r>
    <x v="1"/>
    <n v="2809.24"/>
  </r>
  <r>
    <x v="0"/>
    <n v="46047.81"/>
  </r>
  <r>
    <x v="1"/>
    <n v="11353.77"/>
  </r>
  <r>
    <x v="0"/>
    <n v="20224.62"/>
  </r>
  <r>
    <x v="0"/>
    <n v="15292.37"/>
  </r>
  <r>
    <x v="1"/>
    <n v="40625"/>
  </r>
  <r>
    <x v="0"/>
    <n v="24521.98"/>
  </r>
  <r>
    <x v="0"/>
    <n v="48966.42"/>
  </r>
  <r>
    <x v="0"/>
    <n v="33456.559999999998"/>
  </r>
  <r>
    <x v="1"/>
    <n v="33101.269999999997"/>
  </r>
  <r>
    <x v="0"/>
    <n v="39321.06"/>
  </r>
  <r>
    <x v="0"/>
    <n v="46351.6"/>
  </r>
  <r>
    <x v="0"/>
    <n v="18906.650000000001"/>
  </r>
  <r>
    <x v="1"/>
    <n v="43634.13"/>
  </r>
  <r>
    <x v="1"/>
    <n v="27399.17"/>
  </r>
  <r>
    <x v="1"/>
    <n v="23969.75"/>
  </r>
  <r>
    <x v="1"/>
    <n v="44432.73"/>
  </r>
  <r>
    <x v="0"/>
    <n v="24482.48"/>
  </r>
  <r>
    <x v="1"/>
    <n v="16082.98"/>
  </r>
  <r>
    <x v="1"/>
    <n v="15222.54"/>
  </r>
  <r>
    <x v="1"/>
    <n v="11115.95"/>
  </r>
  <r>
    <x v="1"/>
    <n v="24789.040000000001"/>
  </r>
  <r>
    <x v="0"/>
    <n v="5015.8999999999996"/>
  </r>
  <r>
    <x v="1"/>
    <n v="12337.64"/>
  </r>
  <r>
    <x v="0"/>
    <n v="3237.04"/>
  </r>
  <r>
    <x v="0"/>
    <n v="33088.35"/>
  </r>
  <r>
    <x v="1"/>
    <n v="29585.64"/>
  </r>
  <r>
    <x v="1"/>
    <n v="33855.22"/>
  </r>
  <r>
    <x v="1"/>
    <n v="8317.2000000000007"/>
  </r>
  <r>
    <x v="0"/>
    <n v="35070.79"/>
  </r>
  <r>
    <x v="0"/>
    <n v="5324.97"/>
  </r>
  <r>
    <x v="1"/>
    <n v="1307.98"/>
  </r>
  <r>
    <x v="0"/>
    <n v="9388.6299999999992"/>
  </r>
  <r>
    <x v="0"/>
    <n v="13741.48"/>
  </r>
  <r>
    <x v="1"/>
    <n v="7788.41"/>
  </r>
  <r>
    <x v="0"/>
    <n v="46859.98"/>
  </r>
  <r>
    <x v="1"/>
    <n v="46346.82"/>
  </r>
  <r>
    <x v="1"/>
    <n v="39651.440000000002"/>
  </r>
  <r>
    <x v="1"/>
    <n v="10940.98"/>
  </r>
  <r>
    <x v="1"/>
    <n v="49036.72"/>
  </r>
  <r>
    <x v="0"/>
    <n v="3181.14"/>
  </r>
  <r>
    <x v="1"/>
    <n v="5909.76"/>
  </r>
  <r>
    <x v="0"/>
    <n v="36683.519999999997"/>
  </r>
  <r>
    <x v="0"/>
    <n v="22383.01"/>
  </r>
  <r>
    <x v="0"/>
    <n v="10417.620000000001"/>
  </r>
  <r>
    <x v="0"/>
    <n v="28565.95"/>
  </r>
  <r>
    <x v="0"/>
    <n v="41074.720000000001"/>
  </r>
  <r>
    <x v="1"/>
    <n v="30463.119999999999"/>
  </r>
  <r>
    <x v="0"/>
    <n v="34622.239999999998"/>
  </r>
  <r>
    <x v="1"/>
    <n v="41235.85"/>
  </r>
  <r>
    <x v="1"/>
    <n v="517.44000000000005"/>
  </r>
  <r>
    <x v="0"/>
    <n v="27333.040000000001"/>
  </r>
  <r>
    <x v="1"/>
    <n v="16906.27"/>
  </r>
  <r>
    <x v="0"/>
    <n v="39962.959999999999"/>
  </r>
  <r>
    <x v="1"/>
    <n v="16238.83"/>
  </r>
  <r>
    <x v="0"/>
    <n v="37986.19"/>
  </r>
  <r>
    <x v="0"/>
    <n v="9527.2099999999991"/>
  </r>
  <r>
    <x v="0"/>
    <n v="20379.75"/>
  </r>
  <r>
    <x v="1"/>
    <n v="41969.64"/>
  </r>
  <r>
    <x v="1"/>
    <n v="9200"/>
  </r>
  <r>
    <x v="1"/>
    <n v="24834.41"/>
  </r>
  <r>
    <x v="0"/>
    <n v="7140.64"/>
  </r>
  <r>
    <x v="1"/>
    <n v="34800.410000000003"/>
  </r>
  <r>
    <x v="1"/>
    <n v="33570.879999999997"/>
  </r>
  <r>
    <x v="1"/>
    <n v="46344.4"/>
  </r>
  <r>
    <x v="1"/>
    <n v="27173.81"/>
  </r>
  <r>
    <x v="1"/>
    <n v="12560.71"/>
  </r>
  <r>
    <x v="0"/>
    <n v="3571.66"/>
  </r>
  <r>
    <x v="0"/>
    <n v="36088.339999999997"/>
  </r>
  <r>
    <x v="1"/>
    <n v="12877.8"/>
  </r>
  <r>
    <x v="0"/>
    <n v="37540.46"/>
  </r>
  <r>
    <x v="0"/>
    <n v="37439.21"/>
  </r>
  <r>
    <x v="1"/>
    <n v="23375.97"/>
  </r>
  <r>
    <x v="0"/>
    <n v="48836.21"/>
  </r>
  <r>
    <x v="0"/>
    <n v="32509.31"/>
  </r>
  <r>
    <x v="1"/>
    <n v="40173.129999999997"/>
  </r>
  <r>
    <x v="0"/>
    <n v="26682.53"/>
  </r>
  <r>
    <x v="1"/>
    <n v="16156.01"/>
  </r>
  <r>
    <x v="0"/>
    <n v="20877.14"/>
  </r>
  <r>
    <x v="0"/>
    <n v="22949.41"/>
  </r>
  <r>
    <x v="0"/>
    <n v="18562.18"/>
  </r>
  <r>
    <x v="1"/>
    <n v="45521.26"/>
  </r>
  <r>
    <x v="0"/>
    <n v="34852"/>
  </r>
  <r>
    <x v="0"/>
    <n v="34122.61"/>
  </r>
  <r>
    <x v="1"/>
    <n v="28930.59"/>
  </r>
  <r>
    <x v="0"/>
    <n v="5792.02"/>
  </r>
  <r>
    <x v="0"/>
    <n v="24302.57"/>
  </r>
  <r>
    <x v="1"/>
    <n v="10214.02"/>
  </r>
  <r>
    <x v="1"/>
    <n v="43186.78"/>
  </r>
  <r>
    <x v="0"/>
    <n v="48451.8"/>
  </r>
  <r>
    <x v="0"/>
    <n v="32974.839999999997"/>
  </r>
  <r>
    <x v="1"/>
    <n v="42654.53"/>
  </r>
  <r>
    <x v="0"/>
    <n v="769.28"/>
  </r>
  <r>
    <x v="0"/>
    <n v="20875.919999999998"/>
  </r>
  <r>
    <x v="1"/>
    <n v="46849.79"/>
  </r>
  <r>
    <x v="1"/>
    <n v="21862.1"/>
  </r>
  <r>
    <x v="1"/>
    <n v="47742.080000000002"/>
  </r>
  <r>
    <x v="1"/>
    <n v="17884.830000000002"/>
  </r>
  <r>
    <x v="0"/>
    <n v="32545.360000000001"/>
  </r>
  <r>
    <x v="0"/>
    <n v="19403.560000000001"/>
  </r>
  <r>
    <x v="0"/>
    <n v="47835.95"/>
  </r>
  <r>
    <x v="1"/>
    <n v="12326.19"/>
  </r>
  <r>
    <x v="1"/>
    <n v="16824.509999999998"/>
  </r>
  <r>
    <x v="0"/>
    <n v="28920.17"/>
  </r>
  <r>
    <x v="1"/>
    <n v="30577.71"/>
  </r>
  <r>
    <x v="0"/>
    <n v="17314.52"/>
  </r>
  <r>
    <x v="1"/>
    <n v="27201.68"/>
  </r>
  <r>
    <x v="1"/>
    <n v="29374.92"/>
  </r>
  <r>
    <x v="1"/>
    <n v="2583.3000000000002"/>
  </r>
  <r>
    <x v="0"/>
    <n v="15160.44"/>
  </r>
  <r>
    <x v="1"/>
    <n v="45950.36"/>
  </r>
  <r>
    <x v="0"/>
    <n v="14516.85"/>
  </r>
  <r>
    <x v="1"/>
    <n v="45598.92"/>
  </r>
  <r>
    <x v="0"/>
    <n v="3943.29"/>
  </r>
  <r>
    <x v="0"/>
    <n v="41017.629999999997"/>
  </r>
  <r>
    <x v="0"/>
    <n v="8388.44"/>
  </r>
  <r>
    <x v="0"/>
    <n v="19528.61"/>
  </r>
  <r>
    <x v="1"/>
    <n v="41911.410000000003"/>
  </r>
  <r>
    <x v="0"/>
    <n v="12569.91"/>
  </r>
  <r>
    <x v="0"/>
    <n v="24024.01"/>
  </r>
  <r>
    <x v="0"/>
    <n v="27465.42"/>
  </r>
  <r>
    <x v="1"/>
    <n v="47803.1"/>
  </r>
  <r>
    <x v="1"/>
    <n v="32487.24"/>
  </r>
  <r>
    <x v="0"/>
    <n v="4789.97"/>
  </r>
  <r>
    <x v="0"/>
    <n v="374.95"/>
  </r>
  <r>
    <x v="0"/>
    <n v="40493.22"/>
  </r>
  <r>
    <x v="0"/>
    <n v="28068.04"/>
  </r>
  <r>
    <x v="0"/>
    <n v="994.64"/>
  </r>
  <r>
    <x v="0"/>
    <n v="22887.39"/>
  </r>
  <r>
    <x v="1"/>
    <n v="463.91"/>
  </r>
  <r>
    <x v="0"/>
    <n v="41332.050000000003"/>
  </r>
  <r>
    <x v="0"/>
    <n v="38217.49"/>
  </r>
  <r>
    <x v="0"/>
    <n v="9387.2999999999993"/>
  </r>
  <r>
    <x v="1"/>
    <n v="4109.96"/>
  </r>
  <r>
    <x v="1"/>
    <n v="10194.450000000001"/>
  </r>
  <r>
    <x v="1"/>
    <n v="720.94"/>
  </r>
  <r>
    <x v="0"/>
    <n v="18006.28"/>
  </r>
  <r>
    <x v="1"/>
    <n v="23209.99"/>
  </r>
  <r>
    <x v="1"/>
    <n v="36806.839999999997"/>
  </r>
  <r>
    <x v="1"/>
    <n v="5635"/>
  </r>
  <r>
    <x v="1"/>
    <n v="4961.33"/>
  </r>
  <r>
    <x v="1"/>
    <n v="12397.89"/>
  </r>
  <r>
    <x v="1"/>
    <n v="21743.58"/>
  </r>
  <r>
    <x v="1"/>
    <n v="8416.3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92">
  <r>
    <n v="3586.6"/>
    <x v="0"/>
    <x v="0"/>
  </r>
  <r>
    <n v="3138.93"/>
    <x v="1"/>
    <x v="1"/>
  </r>
  <r>
    <n v="2391.6799999999998"/>
    <x v="2"/>
    <x v="0"/>
  </r>
  <r>
    <n v="341.64"/>
    <x v="3"/>
    <x v="0"/>
  </r>
  <r>
    <n v="3953.93"/>
    <x v="4"/>
    <x v="0"/>
  </r>
  <r>
    <n v="1012.6"/>
    <x v="5"/>
    <x v="1"/>
  </r>
  <r>
    <n v="1938.01"/>
    <x v="6"/>
    <x v="2"/>
  </r>
  <r>
    <n v="3568.43"/>
    <x v="7"/>
    <x v="0"/>
  </r>
  <r>
    <n v="3214.61"/>
    <x v="8"/>
    <x v="0"/>
  </r>
  <r>
    <n v="4123.6899999999996"/>
    <x v="9"/>
    <x v="1"/>
  </r>
  <r>
    <n v="3876.02"/>
    <x v="10"/>
    <x v="2"/>
  </r>
  <r>
    <n v="2598.8000000000002"/>
    <x v="11"/>
    <x v="1"/>
  </r>
  <r>
    <n v="2497.7199999999998"/>
    <x v="12"/>
    <x v="2"/>
  </r>
  <r>
    <n v="374.46"/>
    <x v="13"/>
    <x v="2"/>
  </r>
  <r>
    <n v="1553.21"/>
    <x v="14"/>
    <x v="1"/>
  </r>
  <r>
    <n v="2855.63"/>
    <x v="15"/>
    <x v="1"/>
  </r>
  <r>
    <n v="4578.99"/>
    <x v="16"/>
    <x v="1"/>
  </r>
  <r>
    <n v="3179.09"/>
    <x v="17"/>
    <x v="0"/>
  </r>
  <r>
    <n v="2303.2600000000002"/>
    <x v="18"/>
    <x v="0"/>
  </r>
  <r>
    <n v="4936.95"/>
    <x v="19"/>
    <x v="0"/>
  </r>
  <r>
    <n v="815.24"/>
    <x v="20"/>
    <x v="1"/>
  </r>
  <r>
    <n v="4548.41"/>
    <x v="13"/>
    <x v="0"/>
  </r>
  <r>
    <n v="648.63"/>
    <x v="21"/>
    <x v="0"/>
  </r>
  <r>
    <n v="473.67"/>
    <x v="22"/>
    <x v="2"/>
  </r>
  <r>
    <n v="2700.94"/>
    <x v="23"/>
    <x v="2"/>
  </r>
  <r>
    <n v="3393.6"/>
    <x v="24"/>
    <x v="1"/>
  </r>
  <r>
    <n v="1810.23"/>
    <x v="25"/>
    <x v="2"/>
  </r>
  <r>
    <n v="4110.6899999999996"/>
    <x v="26"/>
    <x v="1"/>
  </r>
  <r>
    <n v="1048.1400000000001"/>
    <x v="27"/>
    <x v="0"/>
  </r>
  <r>
    <n v="1136.53"/>
    <x v="28"/>
    <x v="0"/>
  </r>
  <r>
    <n v="1678.89"/>
    <x v="29"/>
    <x v="2"/>
  </r>
  <r>
    <n v="2894.07"/>
    <x v="30"/>
    <x v="1"/>
  </r>
  <r>
    <n v="308.23"/>
    <x v="31"/>
    <x v="1"/>
  </r>
  <r>
    <n v="1553.44"/>
    <x v="32"/>
    <x v="2"/>
  </r>
  <r>
    <n v="681.61"/>
    <x v="33"/>
    <x v="0"/>
  </r>
  <r>
    <n v="4684.6099999999997"/>
    <x v="33"/>
    <x v="0"/>
  </r>
  <r>
    <n v="1378.35"/>
    <x v="34"/>
    <x v="1"/>
  </r>
  <r>
    <n v="1887.52"/>
    <x v="35"/>
    <x v="2"/>
  </r>
  <r>
    <n v="3974.45"/>
    <x v="36"/>
    <x v="2"/>
  </r>
  <r>
    <n v="1378.92"/>
    <x v="37"/>
    <x v="2"/>
  </r>
  <r>
    <n v="3988.15"/>
    <x v="38"/>
    <x v="0"/>
  </r>
  <r>
    <n v="4038.01"/>
    <x v="4"/>
    <x v="0"/>
  </r>
  <r>
    <n v="732.82"/>
    <x v="39"/>
    <x v="2"/>
  </r>
  <r>
    <n v="4548.76"/>
    <x v="40"/>
    <x v="1"/>
  </r>
  <r>
    <n v="3439.13"/>
    <x v="41"/>
    <x v="0"/>
  </r>
  <r>
    <n v="2678.96"/>
    <x v="42"/>
    <x v="2"/>
  </r>
  <r>
    <n v="3032.38"/>
    <x v="43"/>
    <x v="1"/>
  </r>
  <r>
    <n v="2930.28"/>
    <x v="44"/>
    <x v="1"/>
  </r>
  <r>
    <n v="4655.22"/>
    <x v="45"/>
    <x v="1"/>
  </r>
  <r>
    <n v="4760.03"/>
    <x v="46"/>
    <x v="0"/>
  </r>
  <r>
    <n v="2463.56"/>
    <x v="47"/>
    <x v="0"/>
  </r>
  <r>
    <n v="2842.74"/>
    <x v="48"/>
    <x v="2"/>
  </r>
  <r>
    <n v="535.24"/>
    <x v="44"/>
    <x v="1"/>
  </r>
  <r>
    <n v="295.81"/>
    <x v="49"/>
    <x v="0"/>
  </r>
  <r>
    <n v="2109.79"/>
    <x v="50"/>
    <x v="2"/>
  </r>
  <r>
    <n v="2476.35"/>
    <x v="51"/>
    <x v="2"/>
  </r>
  <r>
    <n v="1507.86"/>
    <x v="52"/>
    <x v="1"/>
  </r>
  <r>
    <n v="2195.79"/>
    <x v="53"/>
    <x v="0"/>
  </r>
  <r>
    <n v="1749.34"/>
    <x v="31"/>
    <x v="2"/>
  </r>
  <r>
    <n v="446.19"/>
    <x v="54"/>
    <x v="1"/>
  </r>
  <r>
    <n v="2085.6"/>
    <x v="46"/>
    <x v="0"/>
  </r>
  <r>
    <n v="3421.64"/>
    <x v="55"/>
    <x v="0"/>
  </r>
  <r>
    <n v="2593.23"/>
    <x v="15"/>
    <x v="0"/>
  </r>
  <r>
    <n v="3360.54"/>
    <x v="56"/>
    <x v="1"/>
  </r>
  <r>
    <n v="2283.96"/>
    <x v="57"/>
    <x v="0"/>
  </r>
  <r>
    <n v="1905.99"/>
    <x v="51"/>
    <x v="0"/>
  </r>
  <r>
    <n v="3242.16"/>
    <x v="58"/>
    <x v="1"/>
  </r>
  <r>
    <n v="1411.37"/>
    <x v="59"/>
    <x v="2"/>
  </r>
  <r>
    <n v="4202.96"/>
    <x v="60"/>
    <x v="2"/>
  </r>
  <r>
    <n v="296.37"/>
    <x v="61"/>
    <x v="2"/>
  </r>
  <r>
    <n v="2975.26"/>
    <x v="62"/>
    <x v="0"/>
  </r>
  <r>
    <n v="4043.66"/>
    <x v="63"/>
    <x v="0"/>
  </r>
  <r>
    <n v="4919.6000000000004"/>
    <x v="64"/>
    <x v="0"/>
  </r>
  <r>
    <n v="3796.72"/>
    <x v="65"/>
    <x v="1"/>
  </r>
  <r>
    <n v="4053.62"/>
    <x v="66"/>
    <x v="2"/>
  </r>
  <r>
    <n v="517.42999999999995"/>
    <x v="67"/>
    <x v="0"/>
  </r>
  <r>
    <n v="867.84"/>
    <x v="68"/>
    <x v="2"/>
  </r>
  <r>
    <n v="1170.3900000000001"/>
    <x v="69"/>
    <x v="0"/>
  </r>
  <r>
    <n v="4318.9799999999996"/>
    <x v="1"/>
    <x v="1"/>
  </r>
  <r>
    <n v="235.16"/>
    <x v="69"/>
    <x v="1"/>
  </r>
  <r>
    <n v="463.11"/>
    <x v="70"/>
    <x v="2"/>
  </r>
  <r>
    <n v="2088.79"/>
    <x v="71"/>
    <x v="1"/>
  </r>
  <r>
    <n v="3584.19"/>
    <x v="72"/>
    <x v="2"/>
  </r>
  <r>
    <n v="1725.15"/>
    <x v="73"/>
    <x v="2"/>
  </r>
  <r>
    <n v="849.34"/>
    <x v="74"/>
    <x v="1"/>
  </r>
  <r>
    <n v="1773.74"/>
    <x v="75"/>
    <x v="0"/>
  </r>
  <r>
    <n v="3090.69"/>
    <x v="63"/>
    <x v="1"/>
  </r>
  <r>
    <n v="1907.59"/>
    <x v="76"/>
    <x v="1"/>
  </r>
  <r>
    <n v="3307.91"/>
    <x v="77"/>
    <x v="0"/>
  </r>
  <r>
    <n v="4735.95"/>
    <x v="78"/>
    <x v="2"/>
  </r>
  <r>
    <n v="2390.5500000000002"/>
    <x v="79"/>
    <x v="1"/>
  </r>
  <r>
    <n v="1301.95"/>
    <x v="59"/>
    <x v="1"/>
  </r>
  <r>
    <n v="4307.12"/>
    <x v="80"/>
    <x v="2"/>
  </r>
  <r>
    <n v="3838.88"/>
    <x v="81"/>
    <x v="0"/>
  </r>
  <r>
    <n v="2541.06"/>
    <x v="82"/>
    <x v="1"/>
  </r>
  <r>
    <n v="1240.9100000000001"/>
    <x v="7"/>
    <x v="1"/>
  </r>
  <r>
    <n v="4819.88"/>
    <x v="83"/>
    <x v="2"/>
  </r>
  <r>
    <n v="1270.67"/>
    <x v="84"/>
    <x v="0"/>
  </r>
  <r>
    <n v="2355.38"/>
    <x v="85"/>
    <x v="2"/>
  </r>
  <r>
    <n v="4322.32"/>
    <x v="86"/>
    <x v="1"/>
  </r>
  <r>
    <n v="4237.2700000000004"/>
    <x v="87"/>
    <x v="2"/>
  </r>
  <r>
    <n v="3377.3"/>
    <x v="68"/>
    <x v="0"/>
  </r>
  <r>
    <n v="1257.76"/>
    <x v="27"/>
    <x v="1"/>
  </r>
  <r>
    <n v="2892.62"/>
    <x v="11"/>
    <x v="2"/>
  </r>
  <r>
    <n v="808.6"/>
    <x v="88"/>
    <x v="2"/>
  </r>
  <r>
    <n v="791.43"/>
    <x v="11"/>
    <x v="1"/>
  </r>
  <r>
    <n v="4418.3"/>
    <x v="49"/>
    <x v="0"/>
  </r>
  <r>
    <n v="2711.19"/>
    <x v="89"/>
    <x v="2"/>
  </r>
  <r>
    <n v="3946.51"/>
    <x v="90"/>
    <x v="2"/>
  </r>
  <r>
    <n v="4503.37"/>
    <x v="91"/>
    <x v="1"/>
  </r>
  <r>
    <n v="4280.8599999999997"/>
    <x v="92"/>
    <x v="0"/>
  </r>
  <r>
    <n v="3812.79"/>
    <x v="38"/>
    <x v="2"/>
  </r>
  <r>
    <n v="3546.47"/>
    <x v="93"/>
    <x v="1"/>
  </r>
  <r>
    <n v="3790.27"/>
    <x v="12"/>
    <x v="1"/>
  </r>
  <r>
    <n v="3399.12"/>
    <x v="49"/>
    <x v="2"/>
  </r>
  <r>
    <n v="1273.69"/>
    <x v="94"/>
    <x v="2"/>
  </r>
  <r>
    <n v="3409.8"/>
    <x v="15"/>
    <x v="0"/>
  </r>
  <r>
    <n v="1765.47"/>
    <x v="95"/>
    <x v="0"/>
  </r>
  <r>
    <n v="3663.26"/>
    <x v="96"/>
    <x v="1"/>
  </r>
  <r>
    <n v="633.13"/>
    <x v="97"/>
    <x v="1"/>
  </r>
  <r>
    <n v="16.46"/>
    <x v="73"/>
    <x v="2"/>
  </r>
  <r>
    <n v="65.349999999999994"/>
    <x v="6"/>
    <x v="2"/>
  </r>
  <r>
    <n v="2081.5700000000002"/>
    <x v="98"/>
    <x v="1"/>
  </r>
  <r>
    <n v="2381.63"/>
    <x v="57"/>
    <x v="0"/>
  </r>
  <r>
    <n v="3047.22"/>
    <x v="99"/>
    <x v="1"/>
  </r>
  <r>
    <n v="1277.92"/>
    <x v="100"/>
    <x v="2"/>
  </r>
  <r>
    <n v="2312.11"/>
    <x v="101"/>
    <x v="2"/>
  </r>
  <r>
    <n v="1784.27"/>
    <x v="58"/>
    <x v="0"/>
  </r>
  <r>
    <n v="3089.44"/>
    <x v="102"/>
    <x v="0"/>
  </r>
  <r>
    <n v="836.52"/>
    <x v="103"/>
    <x v="2"/>
  </r>
  <r>
    <n v="4659.29"/>
    <x v="104"/>
    <x v="1"/>
  </r>
  <r>
    <n v="4904.59"/>
    <x v="68"/>
    <x v="1"/>
  </r>
  <r>
    <n v="1778.59"/>
    <x v="105"/>
    <x v="0"/>
  </r>
  <r>
    <n v="4753.6000000000004"/>
    <x v="91"/>
    <x v="1"/>
  </r>
  <r>
    <n v="1155.51"/>
    <x v="106"/>
    <x v="1"/>
  </r>
  <r>
    <n v="1134.8599999999999"/>
    <x v="50"/>
    <x v="0"/>
  </r>
  <r>
    <n v="1076.01"/>
    <x v="107"/>
    <x v="0"/>
  </r>
  <r>
    <n v="4894.24"/>
    <x v="108"/>
    <x v="2"/>
  </r>
  <r>
    <n v="1327.68"/>
    <x v="109"/>
    <x v="0"/>
  </r>
  <r>
    <n v="2555.85"/>
    <x v="105"/>
    <x v="2"/>
  </r>
  <r>
    <n v="2732.29"/>
    <x v="110"/>
    <x v="2"/>
  </r>
  <r>
    <n v="791.18"/>
    <x v="111"/>
    <x v="2"/>
  </r>
  <r>
    <n v="1139.3900000000001"/>
    <x v="31"/>
    <x v="2"/>
  </r>
  <r>
    <n v="1833"/>
    <x v="112"/>
    <x v="0"/>
  </r>
  <r>
    <n v="1899.74"/>
    <x v="113"/>
    <x v="2"/>
  </r>
  <r>
    <n v="1038.6099999999999"/>
    <x v="114"/>
    <x v="1"/>
  </r>
  <r>
    <n v="2489.79"/>
    <x v="115"/>
    <x v="0"/>
  </r>
  <r>
    <n v="1938.15"/>
    <x v="116"/>
    <x v="1"/>
  </r>
  <r>
    <n v="23.75"/>
    <x v="115"/>
    <x v="0"/>
  </r>
  <r>
    <n v="4490.6000000000004"/>
    <x v="117"/>
    <x v="2"/>
  </r>
  <r>
    <n v="3695.2"/>
    <x v="118"/>
    <x v="1"/>
  </r>
  <r>
    <n v="1912.12"/>
    <x v="58"/>
    <x v="2"/>
  </r>
  <r>
    <n v="304.82"/>
    <x v="119"/>
    <x v="1"/>
  </r>
  <r>
    <n v="2917.89"/>
    <x v="120"/>
    <x v="1"/>
  </r>
  <r>
    <n v="4270.29"/>
    <x v="66"/>
    <x v="2"/>
  </r>
  <r>
    <n v="825.52"/>
    <x v="121"/>
    <x v="1"/>
  </r>
  <r>
    <n v="4189.45"/>
    <x v="76"/>
    <x v="0"/>
  </r>
  <r>
    <n v="3440.84"/>
    <x v="122"/>
    <x v="1"/>
  </r>
  <r>
    <n v="226.48"/>
    <x v="123"/>
    <x v="1"/>
  </r>
  <r>
    <n v="3509.87"/>
    <x v="124"/>
    <x v="2"/>
  </r>
  <r>
    <n v="1458.73"/>
    <x v="125"/>
    <x v="1"/>
  </r>
  <r>
    <n v="2147.87"/>
    <x v="67"/>
    <x v="2"/>
  </r>
  <r>
    <n v="1153.03"/>
    <x v="65"/>
    <x v="1"/>
  </r>
  <r>
    <n v="3214.45"/>
    <x v="106"/>
    <x v="0"/>
  </r>
  <r>
    <n v="4771.49"/>
    <x v="86"/>
    <x v="2"/>
  </r>
  <r>
    <n v="813.95"/>
    <x v="112"/>
    <x v="1"/>
  </r>
  <r>
    <n v="824.53"/>
    <x v="126"/>
    <x v="0"/>
  </r>
  <r>
    <n v="1828.78"/>
    <x v="111"/>
    <x v="1"/>
  </r>
  <r>
    <n v="332.54"/>
    <x v="79"/>
    <x v="1"/>
  </r>
  <r>
    <n v="4987.9399999999996"/>
    <x v="127"/>
    <x v="2"/>
  </r>
  <r>
    <n v="2401.29"/>
    <x v="128"/>
    <x v="2"/>
  </r>
  <r>
    <n v="793.02"/>
    <x v="129"/>
    <x v="1"/>
  </r>
  <r>
    <n v="2593.06"/>
    <x v="130"/>
    <x v="0"/>
  </r>
  <r>
    <n v="4206.68"/>
    <x v="65"/>
    <x v="0"/>
  </r>
  <r>
    <n v="1674.79"/>
    <x v="33"/>
    <x v="1"/>
  </r>
  <r>
    <n v="2047.06"/>
    <x v="131"/>
    <x v="1"/>
  </r>
  <r>
    <n v="3853.02"/>
    <x v="132"/>
    <x v="1"/>
  </r>
  <r>
    <n v="3383.99"/>
    <x v="38"/>
    <x v="1"/>
  </r>
  <r>
    <n v="3690.25"/>
    <x v="133"/>
    <x v="1"/>
  </r>
  <r>
    <n v="2243.5100000000002"/>
    <x v="134"/>
    <x v="1"/>
  </r>
  <r>
    <n v="1006.22"/>
    <x v="135"/>
    <x v="1"/>
  </r>
  <r>
    <n v="3525.84"/>
    <x v="136"/>
    <x v="1"/>
  </r>
  <r>
    <n v="449.77"/>
    <x v="47"/>
    <x v="1"/>
  </r>
  <r>
    <n v="4987.71"/>
    <x v="112"/>
    <x v="2"/>
  </r>
  <r>
    <n v="1476.22"/>
    <x v="137"/>
    <x v="0"/>
  </r>
  <r>
    <n v="4264.3100000000004"/>
    <x v="138"/>
    <x v="2"/>
  </r>
  <r>
    <n v="2577.37"/>
    <x v="139"/>
    <x v="1"/>
  </r>
  <r>
    <n v="647.12"/>
    <x v="140"/>
    <x v="0"/>
  </r>
  <r>
    <n v="3205.37"/>
    <x v="134"/>
    <x v="1"/>
  </r>
  <r>
    <n v="2003.62"/>
    <x v="141"/>
    <x v="0"/>
  </r>
  <r>
    <n v="2290.61"/>
    <x v="142"/>
    <x v="2"/>
  </r>
  <r>
    <n v="1200.29"/>
    <x v="143"/>
    <x v="2"/>
  </r>
  <r>
    <n v="3954.14"/>
    <x v="102"/>
    <x v="2"/>
  </r>
  <r>
    <n v="3352.07"/>
    <x v="124"/>
    <x v="2"/>
  </r>
  <r>
    <n v="439.41"/>
    <x v="23"/>
    <x v="1"/>
  </r>
  <r>
    <n v="3622.29"/>
    <x v="99"/>
    <x v="0"/>
  </r>
  <r>
    <n v="42.48"/>
    <x v="116"/>
    <x v="1"/>
  </r>
  <r>
    <n v="1638.84"/>
    <x v="9"/>
    <x v="2"/>
  </r>
  <r>
    <n v="2557.4699999999998"/>
    <x v="144"/>
    <x v="0"/>
  </r>
  <r>
    <n v="3039.72"/>
    <x v="145"/>
    <x v="0"/>
  </r>
  <r>
    <n v="3113.67"/>
    <x v="146"/>
    <x v="2"/>
  </r>
  <r>
    <n v="718.75"/>
    <x v="147"/>
    <x v="2"/>
  </r>
  <r>
    <n v="2956.06"/>
    <x v="29"/>
    <x v="1"/>
  </r>
  <r>
    <n v="3114.31"/>
    <x v="136"/>
    <x v="1"/>
  </r>
  <r>
    <n v="2273.9699999999998"/>
    <x v="148"/>
    <x v="0"/>
  </r>
  <r>
    <n v="1380.18"/>
    <x v="36"/>
    <x v="2"/>
  </r>
  <r>
    <n v="312.12"/>
    <x v="59"/>
    <x v="0"/>
  </r>
  <r>
    <n v="1204.06"/>
    <x v="149"/>
    <x v="2"/>
  </r>
  <r>
    <n v="2924.4"/>
    <x v="150"/>
    <x v="1"/>
  </r>
  <r>
    <n v="4144.24"/>
    <x v="48"/>
    <x v="1"/>
  </r>
  <r>
    <n v="4413.8900000000003"/>
    <x v="151"/>
    <x v="1"/>
  </r>
  <r>
    <n v="3411.86"/>
    <x v="152"/>
    <x v="1"/>
  </r>
  <r>
    <n v="670.24"/>
    <x v="83"/>
    <x v="1"/>
  </r>
  <r>
    <n v="3701.48"/>
    <x v="153"/>
    <x v="0"/>
  </r>
  <r>
    <n v="4833.9799999999996"/>
    <x v="154"/>
    <x v="1"/>
  </r>
  <r>
    <n v="2741.06"/>
    <x v="155"/>
    <x v="2"/>
  </r>
  <r>
    <n v="514.15"/>
    <x v="5"/>
    <x v="0"/>
  </r>
  <r>
    <n v="3592.83"/>
    <x v="156"/>
    <x v="1"/>
  </r>
  <r>
    <n v="405.06"/>
    <x v="150"/>
    <x v="2"/>
  </r>
  <r>
    <n v="654.05999999999995"/>
    <x v="123"/>
    <x v="0"/>
  </r>
  <r>
    <n v="13.97"/>
    <x v="157"/>
    <x v="0"/>
  </r>
  <r>
    <n v="3425.5"/>
    <x v="158"/>
    <x v="2"/>
  </r>
  <r>
    <n v="4930.3100000000004"/>
    <x v="159"/>
    <x v="1"/>
  </r>
  <r>
    <n v="2325.79"/>
    <x v="160"/>
    <x v="1"/>
  </r>
  <r>
    <n v="1598.2"/>
    <x v="82"/>
    <x v="2"/>
  </r>
  <r>
    <n v="2756.28"/>
    <x v="161"/>
    <x v="2"/>
  </r>
  <r>
    <n v="4748.6000000000004"/>
    <x v="69"/>
    <x v="1"/>
  </r>
  <r>
    <n v="3615.36"/>
    <x v="139"/>
    <x v="1"/>
  </r>
  <r>
    <n v="4301.95"/>
    <x v="63"/>
    <x v="0"/>
  </r>
  <r>
    <n v="2102.6999999999998"/>
    <x v="101"/>
    <x v="1"/>
  </r>
  <r>
    <n v="1455.49"/>
    <x v="62"/>
    <x v="0"/>
  </r>
  <r>
    <n v="771.3"/>
    <x v="162"/>
    <x v="0"/>
  </r>
  <r>
    <n v="2383.48"/>
    <x v="163"/>
    <x v="0"/>
  </r>
  <r>
    <n v="4229.67"/>
    <x v="111"/>
    <x v="0"/>
  </r>
  <r>
    <n v="4326.07"/>
    <x v="91"/>
    <x v="2"/>
  </r>
  <r>
    <n v="3702.09"/>
    <x v="164"/>
    <x v="2"/>
  </r>
  <r>
    <n v="4292.95"/>
    <x v="45"/>
    <x v="1"/>
  </r>
  <r>
    <n v="4221.95"/>
    <x v="165"/>
    <x v="1"/>
  </r>
  <r>
    <n v="3912.02"/>
    <x v="166"/>
    <x v="1"/>
  </r>
  <r>
    <n v="2036.07"/>
    <x v="167"/>
    <x v="2"/>
  </r>
  <r>
    <n v="1315.13"/>
    <x v="168"/>
    <x v="0"/>
  </r>
  <r>
    <n v="806.41"/>
    <x v="169"/>
    <x v="1"/>
  </r>
  <r>
    <n v="1081.43"/>
    <x v="64"/>
    <x v="2"/>
  </r>
  <r>
    <n v="2030.18"/>
    <x v="150"/>
    <x v="1"/>
  </r>
  <r>
    <n v="4972.16"/>
    <x v="170"/>
    <x v="2"/>
  </r>
  <r>
    <n v="3192.31"/>
    <x v="104"/>
    <x v="0"/>
  </r>
  <r>
    <n v="4030.21"/>
    <x v="171"/>
    <x v="2"/>
  </r>
  <r>
    <n v="2838.74"/>
    <x v="172"/>
    <x v="0"/>
  </r>
  <r>
    <n v="906.15"/>
    <x v="71"/>
    <x v="1"/>
  </r>
  <r>
    <n v="4707.57"/>
    <x v="173"/>
    <x v="2"/>
  </r>
  <r>
    <n v="2135.5500000000002"/>
    <x v="101"/>
    <x v="0"/>
  </r>
  <r>
    <n v="987.66"/>
    <x v="174"/>
    <x v="0"/>
  </r>
  <r>
    <n v="4908.12"/>
    <x v="175"/>
    <x v="2"/>
  </r>
  <r>
    <n v="1323.38"/>
    <x v="41"/>
    <x v="1"/>
  </r>
  <r>
    <n v="649.23"/>
    <x v="123"/>
    <x v="2"/>
  </r>
  <r>
    <n v="2402.79"/>
    <x v="75"/>
    <x v="2"/>
  </r>
  <r>
    <n v="4341.79"/>
    <x v="47"/>
    <x v="2"/>
  </r>
  <r>
    <n v="4030.65"/>
    <x v="176"/>
    <x v="2"/>
  </r>
  <r>
    <n v="4078.58"/>
    <x v="177"/>
    <x v="0"/>
  </r>
  <r>
    <n v="1473.81"/>
    <x v="71"/>
    <x v="1"/>
  </r>
  <r>
    <n v="254.28"/>
    <x v="78"/>
    <x v="0"/>
  </r>
  <r>
    <n v="4586.99"/>
    <x v="10"/>
    <x v="2"/>
  </r>
  <r>
    <n v="3882.83"/>
    <x v="178"/>
    <x v="2"/>
  </r>
  <r>
    <n v="3562.46"/>
    <x v="179"/>
    <x v="1"/>
  </r>
  <r>
    <n v="2435.5500000000002"/>
    <x v="180"/>
    <x v="1"/>
  </r>
  <r>
    <n v="173.11"/>
    <x v="131"/>
    <x v="2"/>
  </r>
  <r>
    <n v="2973.03"/>
    <x v="45"/>
    <x v="0"/>
  </r>
  <r>
    <n v="2505.6799999999998"/>
    <x v="169"/>
    <x v="2"/>
  </r>
  <r>
    <n v="2635.89"/>
    <x v="181"/>
    <x v="0"/>
  </r>
  <r>
    <n v="1926.4"/>
    <x v="182"/>
    <x v="1"/>
  </r>
  <r>
    <n v="964.81"/>
    <x v="183"/>
    <x v="2"/>
  </r>
  <r>
    <n v="2132.4499999999998"/>
    <x v="184"/>
    <x v="2"/>
  </r>
  <r>
    <n v="935.94"/>
    <x v="185"/>
    <x v="2"/>
  </r>
  <r>
    <n v="1345.6"/>
    <x v="130"/>
    <x v="0"/>
  </r>
  <r>
    <n v="2843.27"/>
    <x v="9"/>
    <x v="1"/>
  </r>
  <r>
    <n v="4723.49"/>
    <x v="186"/>
    <x v="0"/>
  </r>
  <r>
    <n v="3430.09"/>
    <x v="187"/>
    <x v="2"/>
  </r>
  <r>
    <n v="3000.64"/>
    <x v="188"/>
    <x v="1"/>
  </r>
  <r>
    <n v="4010.98"/>
    <x v="169"/>
    <x v="0"/>
  </r>
  <r>
    <n v="2432.42"/>
    <x v="127"/>
    <x v="1"/>
  </r>
  <r>
    <n v="4712.96"/>
    <x v="189"/>
    <x v="1"/>
  </r>
  <r>
    <n v="2929.49"/>
    <x v="127"/>
    <x v="1"/>
  </r>
  <r>
    <n v="1325.77"/>
    <x v="190"/>
    <x v="0"/>
  </r>
  <r>
    <n v="340.54"/>
    <x v="142"/>
    <x v="2"/>
  </r>
  <r>
    <n v="869.08"/>
    <x v="191"/>
    <x v="0"/>
  </r>
  <r>
    <n v="4721.62"/>
    <x v="22"/>
    <x v="2"/>
  </r>
  <r>
    <n v="2612.12"/>
    <x v="192"/>
    <x v="1"/>
  </r>
  <r>
    <n v="3269.07"/>
    <x v="133"/>
    <x v="2"/>
  </r>
  <r>
    <n v="1675.92"/>
    <x v="193"/>
    <x v="2"/>
  </r>
  <r>
    <n v="2012.78"/>
    <x v="194"/>
    <x v="2"/>
  </r>
  <r>
    <n v="1589.58"/>
    <x v="104"/>
    <x v="2"/>
  </r>
  <r>
    <n v="4915.91"/>
    <x v="195"/>
    <x v="1"/>
  </r>
  <r>
    <n v="2094.16"/>
    <x v="196"/>
    <x v="0"/>
  </r>
  <r>
    <n v="775.99"/>
    <x v="28"/>
    <x v="1"/>
  </r>
  <r>
    <n v="1895.22"/>
    <x v="197"/>
    <x v="1"/>
  </r>
  <r>
    <n v="1693.96"/>
    <x v="70"/>
    <x v="0"/>
  </r>
  <r>
    <n v="2458.4899999999998"/>
    <x v="198"/>
    <x v="1"/>
  </r>
  <r>
    <n v="2051.9"/>
    <x v="199"/>
    <x v="1"/>
  </r>
  <r>
    <n v="1436.1"/>
    <x v="92"/>
    <x v="1"/>
  </r>
  <r>
    <n v="4618.0600000000004"/>
    <x v="76"/>
    <x v="0"/>
  </r>
  <r>
    <n v="3460.35"/>
    <x v="164"/>
    <x v="1"/>
  </r>
  <r>
    <n v="1443.16"/>
    <x v="200"/>
    <x v="0"/>
  </r>
  <r>
    <n v="3044.78"/>
    <x v="201"/>
    <x v="1"/>
  </r>
  <r>
    <n v="4273.87"/>
    <x v="202"/>
    <x v="2"/>
  </r>
  <r>
    <n v="821.87"/>
    <x v="79"/>
    <x v="0"/>
  </r>
  <r>
    <n v="3844.51"/>
    <x v="8"/>
    <x v="0"/>
  </r>
  <r>
    <n v="3193.9"/>
    <x v="27"/>
    <x v="2"/>
  </r>
  <r>
    <n v="4937.3599999999997"/>
    <x v="90"/>
    <x v="2"/>
  </r>
  <r>
    <n v="1062.46"/>
    <x v="203"/>
    <x v="0"/>
  </r>
  <r>
    <n v="3588.76"/>
    <x v="204"/>
    <x v="1"/>
  </r>
  <r>
    <n v="852.13"/>
    <x v="205"/>
    <x v="1"/>
  </r>
  <r>
    <n v="198.75"/>
    <x v="206"/>
    <x v="0"/>
  </r>
  <r>
    <n v="2430.38"/>
    <x v="175"/>
    <x v="0"/>
  </r>
  <r>
    <n v="1644.87"/>
    <x v="104"/>
    <x v="0"/>
  </r>
  <r>
    <n v="4901.01"/>
    <x v="207"/>
    <x v="1"/>
  </r>
  <r>
    <n v="1156"/>
    <x v="208"/>
    <x v="1"/>
  </r>
  <r>
    <n v="4161.6400000000003"/>
    <x v="209"/>
    <x v="2"/>
  </r>
  <r>
    <n v="2670.98"/>
    <x v="161"/>
    <x v="0"/>
  </r>
  <r>
    <n v="2437.9"/>
    <x v="210"/>
    <x v="1"/>
  </r>
  <r>
    <n v="2418.79"/>
    <x v="106"/>
    <x v="2"/>
  </r>
  <r>
    <n v="1900.97"/>
    <x v="172"/>
    <x v="2"/>
  </r>
  <r>
    <n v="376.29"/>
    <x v="211"/>
    <x v="0"/>
  </r>
  <r>
    <n v="3558.44"/>
    <x v="212"/>
    <x v="2"/>
  </r>
  <r>
    <n v="1932.04"/>
    <x v="111"/>
    <x v="2"/>
  </r>
  <r>
    <n v="3715.23"/>
    <x v="19"/>
    <x v="0"/>
  </r>
  <r>
    <n v="2998.19"/>
    <x v="213"/>
    <x v="0"/>
  </r>
  <r>
    <n v="1010.28"/>
    <x v="214"/>
    <x v="0"/>
  </r>
  <r>
    <n v="1332.37"/>
    <x v="160"/>
    <x v="0"/>
  </r>
  <r>
    <n v="3680.74"/>
    <x v="96"/>
    <x v="1"/>
  </r>
  <r>
    <n v="4389.75"/>
    <x v="16"/>
    <x v="1"/>
  </r>
  <r>
    <n v="2221.7800000000002"/>
    <x v="215"/>
    <x v="1"/>
  </r>
  <r>
    <n v="4368.21"/>
    <x v="45"/>
    <x v="0"/>
  </r>
  <r>
    <n v="4081.4"/>
    <x v="216"/>
    <x v="2"/>
  </r>
  <r>
    <n v="1305.33"/>
    <x v="45"/>
    <x v="0"/>
  </r>
  <r>
    <n v="3234.1"/>
    <x v="217"/>
    <x v="2"/>
  </r>
  <r>
    <n v="3750.15"/>
    <x v="98"/>
    <x v="1"/>
  </r>
  <r>
    <n v="2999.81"/>
    <x v="218"/>
    <x v="2"/>
  </r>
  <r>
    <n v="4759.3500000000004"/>
    <x v="60"/>
    <x v="1"/>
  </r>
  <r>
    <n v="2369.31"/>
    <x v="38"/>
    <x v="0"/>
  </r>
  <r>
    <n v="3592.85"/>
    <x v="73"/>
    <x v="2"/>
  </r>
  <r>
    <n v="85.94"/>
    <x v="143"/>
    <x v="1"/>
  </r>
  <r>
    <n v="388.83"/>
    <x v="186"/>
    <x v="2"/>
  </r>
  <r>
    <n v="4835.71"/>
    <x v="107"/>
    <x v="1"/>
  </r>
  <r>
    <n v="4133.21"/>
    <x v="21"/>
    <x v="1"/>
  </r>
  <r>
    <n v="3557.89"/>
    <x v="159"/>
    <x v="2"/>
  </r>
  <r>
    <n v="4238.5"/>
    <x v="219"/>
    <x v="2"/>
  </r>
  <r>
    <n v="3908.21"/>
    <x v="52"/>
    <x v="1"/>
  </r>
  <r>
    <n v="2955.63"/>
    <x v="220"/>
    <x v="1"/>
  </r>
  <r>
    <n v="3807.01"/>
    <x v="221"/>
    <x v="1"/>
  </r>
  <r>
    <n v="3930.35"/>
    <x v="222"/>
    <x v="2"/>
  </r>
  <r>
    <n v="3119.04"/>
    <x v="223"/>
    <x v="2"/>
  </r>
  <r>
    <n v="677.21"/>
    <x v="224"/>
    <x v="0"/>
  </r>
  <r>
    <n v="1871.64"/>
    <x v="198"/>
    <x v="2"/>
  </r>
  <r>
    <n v="2230.79"/>
    <x v="106"/>
    <x v="0"/>
  </r>
  <r>
    <n v="3886.36"/>
    <x v="225"/>
    <x v="2"/>
  </r>
  <r>
    <n v="4791.97"/>
    <x v="226"/>
    <x v="2"/>
  </r>
  <r>
    <n v="623.66"/>
    <x v="168"/>
    <x v="2"/>
  </r>
  <r>
    <n v="3675.75"/>
    <x v="227"/>
    <x v="1"/>
  </r>
  <r>
    <n v="2467.38"/>
    <x v="154"/>
    <x v="0"/>
  </r>
  <r>
    <n v="2426.71"/>
    <x v="68"/>
    <x v="1"/>
  </r>
  <r>
    <n v="678.48"/>
    <x v="178"/>
    <x v="0"/>
  </r>
  <r>
    <n v="4129.29"/>
    <x v="171"/>
    <x v="2"/>
  </r>
  <r>
    <n v="2065.62"/>
    <x v="70"/>
    <x v="1"/>
  </r>
  <r>
    <n v="4508.6499999999996"/>
    <x v="228"/>
    <x v="0"/>
  </r>
  <r>
    <n v="4421.47"/>
    <x v="173"/>
    <x v="0"/>
  </r>
  <r>
    <n v="1770.83"/>
    <x v="229"/>
    <x v="0"/>
  </r>
  <r>
    <n v="3526.88"/>
    <x v="88"/>
    <x v="1"/>
  </r>
  <r>
    <n v="1787.32"/>
    <x v="230"/>
    <x v="0"/>
  </r>
  <r>
    <n v="474.23"/>
    <x v="231"/>
    <x v="2"/>
  </r>
  <r>
    <n v="246.52"/>
    <x v="8"/>
    <x v="1"/>
  </r>
  <r>
    <n v="2420.31"/>
    <x v="124"/>
    <x v="0"/>
  </r>
  <r>
    <n v="2260.04"/>
    <x v="232"/>
    <x v="2"/>
  </r>
  <r>
    <n v="4667.68"/>
    <x v="233"/>
    <x v="1"/>
  </r>
  <r>
    <n v="3947.77"/>
    <x v="234"/>
    <x v="0"/>
  </r>
  <r>
    <n v="2566.64"/>
    <x v="94"/>
    <x v="2"/>
  </r>
  <r>
    <n v="1127.72"/>
    <x v="191"/>
    <x v="2"/>
  </r>
  <r>
    <n v="4925.41"/>
    <x v="204"/>
    <x v="0"/>
  </r>
  <r>
    <n v="2118.86"/>
    <x v="204"/>
    <x v="1"/>
  </r>
  <r>
    <n v="4322.82"/>
    <x v="235"/>
    <x v="1"/>
  </r>
  <r>
    <n v="2945.25"/>
    <x v="86"/>
    <x v="2"/>
  </r>
  <r>
    <n v="4050.75"/>
    <x v="236"/>
    <x v="0"/>
  </r>
  <r>
    <n v="3448.14"/>
    <x v="148"/>
    <x v="0"/>
  </r>
  <r>
    <n v="2780.21"/>
    <x v="67"/>
    <x v="2"/>
  </r>
  <r>
    <n v="4132.88"/>
    <x v="31"/>
    <x v="2"/>
  </r>
  <r>
    <n v="2733.98"/>
    <x v="46"/>
    <x v="2"/>
  </r>
  <r>
    <n v="1155.6199999999999"/>
    <x v="209"/>
    <x v="0"/>
  </r>
  <r>
    <n v="692.38"/>
    <x v="56"/>
    <x v="2"/>
  </r>
  <r>
    <n v="1855.41"/>
    <x v="33"/>
    <x v="2"/>
  </r>
  <r>
    <n v="451.59"/>
    <x v="71"/>
    <x v="0"/>
  </r>
  <r>
    <n v="1409.45"/>
    <x v="210"/>
    <x v="2"/>
  </r>
  <r>
    <n v="4437.26"/>
    <x v="15"/>
    <x v="2"/>
  </r>
  <r>
    <n v="341.56"/>
    <x v="237"/>
    <x v="2"/>
  </r>
  <r>
    <n v="2580.5300000000002"/>
    <x v="235"/>
    <x v="1"/>
  </r>
  <r>
    <n v="2732"/>
    <x v="100"/>
    <x v="1"/>
  </r>
  <r>
    <n v="247.93"/>
    <x v="238"/>
    <x v="1"/>
  </r>
  <r>
    <n v="3074.39"/>
    <x v="239"/>
    <x v="0"/>
  </r>
  <r>
    <n v="260.32"/>
    <x v="212"/>
    <x v="1"/>
  </r>
  <r>
    <n v="1351.21"/>
    <x v="240"/>
    <x v="1"/>
  </r>
  <r>
    <n v="2421.4699999999998"/>
    <x v="131"/>
    <x v="1"/>
  </r>
  <r>
    <n v="695.85"/>
    <x v="241"/>
    <x v="0"/>
  </r>
  <r>
    <n v="2143.19"/>
    <x v="44"/>
    <x v="2"/>
  </r>
  <r>
    <n v="2991.75"/>
    <x v="85"/>
    <x v="2"/>
  </r>
  <r>
    <n v="1550.74"/>
    <x v="242"/>
    <x v="0"/>
  </r>
  <r>
    <n v="3307.15"/>
    <x v="171"/>
    <x v="0"/>
  </r>
  <r>
    <n v="3766.41"/>
    <x v="142"/>
    <x v="2"/>
  </r>
  <r>
    <n v="3289.33"/>
    <x v="206"/>
    <x v="1"/>
  </r>
  <r>
    <n v="514.45000000000005"/>
    <x v="243"/>
    <x v="0"/>
  </r>
  <r>
    <n v="3269.06"/>
    <x v="203"/>
    <x v="0"/>
  </r>
  <r>
    <n v="483.58"/>
    <x v="244"/>
    <x v="1"/>
  </r>
  <r>
    <n v="718.81"/>
    <x v="2"/>
    <x v="1"/>
  </r>
  <r>
    <n v="4469.41"/>
    <x v="234"/>
    <x v="1"/>
  </r>
  <r>
    <n v="4267.38"/>
    <x v="158"/>
    <x v="0"/>
  </r>
  <r>
    <n v="2911.74"/>
    <x v="245"/>
    <x v="1"/>
  </r>
  <r>
    <n v="4064.18"/>
    <x v="246"/>
    <x v="2"/>
  </r>
  <r>
    <n v="3296.15"/>
    <x v="241"/>
    <x v="1"/>
  </r>
  <r>
    <n v="4612.97"/>
    <x v="11"/>
    <x v="2"/>
  </r>
  <r>
    <n v="2337.4699999999998"/>
    <x v="247"/>
    <x v="1"/>
  </r>
  <r>
    <n v="3900.33"/>
    <x v="50"/>
    <x v="0"/>
  </r>
  <r>
    <n v="4191.62"/>
    <x v="6"/>
    <x v="0"/>
  </r>
  <r>
    <n v="701.2"/>
    <x v="119"/>
    <x v="0"/>
  </r>
  <r>
    <n v="638.38"/>
    <x v="121"/>
    <x v="1"/>
  </r>
  <r>
    <n v="2351.9"/>
    <x v="6"/>
    <x v="2"/>
  </r>
  <r>
    <n v="3151.66"/>
    <x v="248"/>
    <x v="2"/>
  </r>
  <r>
    <n v="2887.39"/>
    <x v="95"/>
    <x v="1"/>
  </r>
  <r>
    <n v="3059.64"/>
    <x v="109"/>
    <x v="0"/>
  </r>
  <r>
    <n v="179.62"/>
    <x v="82"/>
    <x v="2"/>
  </r>
  <r>
    <n v="349.65"/>
    <x v="221"/>
    <x v="2"/>
  </r>
  <r>
    <n v="3527.85"/>
    <x v="46"/>
    <x v="0"/>
  </r>
  <r>
    <n v="2363.5100000000002"/>
    <x v="51"/>
    <x v="1"/>
  </r>
  <r>
    <n v="3799.41"/>
    <x v="110"/>
    <x v="0"/>
  </r>
  <r>
    <n v="100.38"/>
    <x v="249"/>
    <x v="1"/>
  </r>
  <r>
    <n v="333.84"/>
    <x v="209"/>
    <x v="0"/>
  </r>
  <r>
    <n v="4718.8999999999996"/>
    <x v="250"/>
    <x v="1"/>
  </r>
  <r>
    <n v="158.01"/>
    <x v="198"/>
    <x v="2"/>
  </r>
  <r>
    <n v="262.08999999999997"/>
    <x v="251"/>
    <x v="1"/>
  </r>
  <r>
    <n v="4240.82"/>
    <x v="59"/>
    <x v="1"/>
  </r>
  <r>
    <n v="3485.01"/>
    <x v="252"/>
    <x v="2"/>
  </r>
  <r>
    <n v="2556.27"/>
    <x v="23"/>
    <x v="0"/>
  </r>
  <r>
    <n v="3067.74"/>
    <x v="86"/>
    <x v="0"/>
  </r>
  <r>
    <n v="1911.81"/>
    <x v="11"/>
    <x v="2"/>
  </r>
  <r>
    <n v="4811.8599999999997"/>
    <x v="93"/>
    <x v="2"/>
  </r>
  <r>
    <n v="4409.28"/>
    <x v="253"/>
    <x v="0"/>
  </r>
  <r>
    <n v="472.98"/>
    <x v="254"/>
    <x v="0"/>
  </r>
  <r>
    <n v="4038.18"/>
    <x v="174"/>
    <x v="1"/>
  </r>
  <r>
    <n v="313.36"/>
    <x v="255"/>
    <x v="2"/>
  </r>
  <r>
    <n v="4622.04"/>
    <x v="100"/>
    <x v="2"/>
  </r>
  <r>
    <n v="1639.75"/>
    <x v="256"/>
    <x v="0"/>
  </r>
  <r>
    <n v="4578.68"/>
    <x v="257"/>
    <x v="2"/>
  </r>
  <r>
    <n v="2844.08"/>
    <x v="159"/>
    <x v="0"/>
  </r>
  <r>
    <n v="4801.96"/>
    <x v="56"/>
    <x v="0"/>
  </r>
  <r>
    <n v="1149.6500000000001"/>
    <x v="258"/>
    <x v="0"/>
  </r>
  <r>
    <n v="3013.57"/>
    <x v="151"/>
    <x v="2"/>
  </r>
  <r>
    <n v="4624.1899999999996"/>
    <x v="220"/>
    <x v="0"/>
  </r>
  <r>
    <n v="1310.72"/>
    <x v="259"/>
    <x v="0"/>
  </r>
  <r>
    <n v="830.31"/>
    <x v="226"/>
    <x v="2"/>
  </r>
  <r>
    <n v="1712.52"/>
    <x v="171"/>
    <x v="0"/>
  </r>
  <r>
    <n v="2859.63"/>
    <x v="260"/>
    <x v="0"/>
  </r>
  <r>
    <n v="1097.3399999999999"/>
    <x v="172"/>
    <x v="0"/>
  </r>
  <r>
    <n v="2667.75"/>
    <x v="254"/>
    <x v="0"/>
  </r>
  <r>
    <n v="4827.5200000000004"/>
    <x v="38"/>
    <x v="2"/>
  </r>
  <r>
    <n v="1038.03"/>
    <x v="181"/>
    <x v="0"/>
  </r>
  <r>
    <n v="3699.44"/>
    <x v="230"/>
    <x v="0"/>
  </r>
  <r>
    <n v="655.45"/>
    <x v="261"/>
    <x v="1"/>
  </r>
  <r>
    <n v="1866.99"/>
    <x v="262"/>
    <x v="1"/>
  </r>
  <r>
    <n v="4988.33"/>
    <x v="263"/>
    <x v="1"/>
  </r>
  <r>
    <n v="1176.3699999999999"/>
    <x v="123"/>
    <x v="0"/>
  </r>
  <r>
    <n v="1515.5"/>
    <x v="37"/>
    <x v="2"/>
  </r>
  <r>
    <n v="2324.06"/>
    <x v="204"/>
    <x v="1"/>
  </r>
  <r>
    <n v="4575.75"/>
    <x v="92"/>
    <x v="2"/>
  </r>
  <r>
    <n v="3045.22"/>
    <x v="109"/>
    <x v="0"/>
  </r>
  <r>
    <n v="4528.76"/>
    <x v="145"/>
    <x v="2"/>
  </r>
  <r>
    <n v="958.39"/>
    <x v="57"/>
    <x v="1"/>
  </r>
  <r>
    <n v="4647.49"/>
    <x v="95"/>
    <x v="0"/>
  </r>
  <r>
    <n v="687.54"/>
    <x v="264"/>
    <x v="0"/>
  </r>
  <r>
    <n v="3732.99"/>
    <x v="265"/>
    <x v="0"/>
  </r>
  <r>
    <n v="3741.62"/>
    <x v="161"/>
    <x v="0"/>
  </r>
  <r>
    <n v="4285.92"/>
    <x v="197"/>
    <x v="0"/>
  </r>
  <r>
    <n v="1010.22"/>
    <x v="85"/>
    <x v="0"/>
  </r>
  <r>
    <n v="4686.96"/>
    <x v="111"/>
    <x v="0"/>
  </r>
  <r>
    <n v="4657.17"/>
    <x v="158"/>
    <x v="1"/>
  </r>
  <r>
    <n v="4403.3100000000004"/>
    <x v="265"/>
    <x v="0"/>
  </r>
  <r>
    <n v="3084.39"/>
    <x v="98"/>
    <x v="1"/>
  </r>
  <r>
    <n v="4816.25"/>
    <x v="27"/>
    <x v="0"/>
  </r>
  <r>
    <n v="3748.47"/>
    <x v="266"/>
    <x v="2"/>
  </r>
  <r>
    <n v="1817.19"/>
    <x v="267"/>
    <x v="1"/>
  </r>
  <r>
    <n v="4322.25"/>
    <x v="268"/>
    <x v="1"/>
  </r>
  <r>
    <n v="1707.06"/>
    <x v="74"/>
    <x v="1"/>
  </r>
  <r>
    <n v="1126.48"/>
    <x v="269"/>
    <x v="0"/>
  </r>
  <r>
    <n v="792.18"/>
    <x v="131"/>
    <x v="2"/>
  </r>
  <r>
    <n v="3490.27"/>
    <x v="153"/>
    <x v="1"/>
  </r>
  <r>
    <n v="2732.25"/>
    <x v="270"/>
    <x v="1"/>
  </r>
  <r>
    <n v="4244.1499999999996"/>
    <x v="271"/>
    <x v="1"/>
  </r>
  <r>
    <n v="1330.61"/>
    <x v="67"/>
    <x v="2"/>
  </r>
  <r>
    <n v="3524.59"/>
    <x v="179"/>
    <x v="0"/>
  </r>
  <r>
    <n v="393.3"/>
    <x v="272"/>
    <x v="2"/>
  </r>
  <r>
    <n v="4268.88"/>
    <x v="34"/>
    <x v="0"/>
  </r>
  <r>
    <n v="3086.61"/>
    <x v="140"/>
    <x v="1"/>
  </r>
  <r>
    <n v="1269.8399999999999"/>
    <x v="62"/>
    <x v="1"/>
  </r>
  <r>
    <n v="593.44000000000005"/>
    <x v="211"/>
    <x v="2"/>
  </r>
  <r>
    <n v="2102.4299999999998"/>
    <x v="10"/>
    <x v="0"/>
  </r>
  <r>
    <n v="1413.05"/>
    <x v="145"/>
    <x v="1"/>
  </r>
  <r>
    <n v="2785.78"/>
    <x v="273"/>
    <x v="0"/>
  </r>
  <r>
    <n v="1687.83"/>
    <x v="207"/>
    <x v="2"/>
  </r>
  <r>
    <n v="823.7"/>
    <x v="236"/>
    <x v="0"/>
  </r>
  <r>
    <n v="64.8"/>
    <x v="194"/>
    <x v="1"/>
  </r>
  <r>
    <n v="4338.75"/>
    <x v="97"/>
    <x v="2"/>
  </r>
  <r>
    <n v="2994.53"/>
    <x v="137"/>
    <x v="1"/>
  </r>
  <r>
    <n v="364.22"/>
    <x v="24"/>
    <x v="2"/>
  </r>
  <r>
    <n v="1012.32"/>
    <x v="274"/>
    <x v="0"/>
  </r>
  <r>
    <n v="4402.84"/>
    <x v="136"/>
    <x v="1"/>
  </r>
  <r>
    <n v="4764.75"/>
    <x v="7"/>
    <x v="2"/>
  </r>
  <r>
    <n v="4818.84"/>
    <x v="248"/>
    <x v="2"/>
  </r>
  <r>
    <n v="2847.12"/>
    <x v="51"/>
    <x v="1"/>
  </r>
  <r>
    <n v="3157.84"/>
    <x v="139"/>
    <x v="2"/>
  </r>
  <r>
    <n v="811.21"/>
    <x v="34"/>
    <x v="0"/>
  </r>
  <r>
    <n v="3791.51"/>
    <x v="271"/>
    <x v="1"/>
  </r>
  <r>
    <n v="2149.54"/>
    <x v="137"/>
    <x v="0"/>
  </r>
  <r>
    <n v="2127.73"/>
    <x v="225"/>
    <x v="1"/>
  </r>
  <r>
    <n v="2512.9299999999998"/>
    <x v="41"/>
    <x v="0"/>
  </r>
  <r>
    <n v="3612.6"/>
    <x v="36"/>
    <x v="2"/>
  </r>
  <r>
    <n v="312.69"/>
    <x v="74"/>
    <x v="0"/>
  </r>
  <r>
    <n v="2284.79"/>
    <x v="246"/>
    <x v="0"/>
  </r>
  <r>
    <n v="1667.99"/>
    <x v="5"/>
    <x v="1"/>
  </r>
  <r>
    <n v="1197.24"/>
    <x v="267"/>
    <x v="2"/>
  </r>
  <r>
    <n v="1614.79"/>
    <x v="21"/>
    <x v="1"/>
  </r>
  <r>
    <n v="3731.59"/>
    <x v="105"/>
    <x v="1"/>
  </r>
  <r>
    <n v="3610.8"/>
    <x v="134"/>
    <x v="0"/>
  </r>
  <r>
    <n v="2187.88"/>
    <x v="202"/>
    <x v="0"/>
  </r>
  <r>
    <n v="3311.83"/>
    <x v="233"/>
    <x v="2"/>
  </r>
  <r>
    <n v="4983.68"/>
    <x v="275"/>
    <x v="0"/>
  </r>
  <r>
    <n v="4414.88"/>
    <x v="232"/>
    <x v="2"/>
  </r>
  <r>
    <n v="2294.4899999999998"/>
    <x v="141"/>
    <x v="0"/>
  </r>
  <r>
    <n v="1283.83"/>
    <x v="132"/>
    <x v="0"/>
  </r>
  <r>
    <n v="1074.77"/>
    <x v="42"/>
    <x v="1"/>
  </r>
  <r>
    <n v="2087.21"/>
    <x v="123"/>
    <x v="1"/>
  </r>
  <r>
    <n v="4059.71"/>
    <x v="276"/>
    <x v="0"/>
  </r>
  <r>
    <n v="3415.61"/>
    <x v="277"/>
    <x v="0"/>
  </r>
  <r>
    <n v="1412.16"/>
    <x v="278"/>
    <x v="2"/>
  </r>
  <r>
    <n v="1629.46"/>
    <x v="49"/>
    <x v="1"/>
  </r>
  <r>
    <n v="96.55"/>
    <x v="70"/>
    <x v="0"/>
  </r>
  <r>
    <n v="2109.62"/>
    <x v="96"/>
    <x v="1"/>
  </r>
  <r>
    <n v="1620.38"/>
    <x v="163"/>
    <x v="2"/>
  </r>
  <r>
    <n v="611.87"/>
    <x v="90"/>
    <x v="1"/>
  </r>
  <r>
    <n v="4164.74"/>
    <x v="1"/>
    <x v="2"/>
  </r>
  <r>
    <n v="4929.66"/>
    <x v="279"/>
    <x v="2"/>
  </r>
  <r>
    <n v="1235.6099999999999"/>
    <x v="163"/>
    <x v="1"/>
  </r>
  <r>
    <n v="3429.41"/>
    <x v="105"/>
    <x v="2"/>
  </r>
  <r>
    <n v="385.47"/>
    <x v="92"/>
    <x v="2"/>
  </r>
  <r>
    <n v="2504.8000000000002"/>
    <x v="280"/>
    <x v="2"/>
  </r>
  <r>
    <n v="228.97"/>
    <x v="51"/>
    <x v="1"/>
  </r>
  <r>
    <n v="1692.64"/>
    <x v="146"/>
    <x v="0"/>
  </r>
  <r>
    <n v="554.77"/>
    <x v="281"/>
    <x v="2"/>
  </r>
  <r>
    <n v="3790.89"/>
    <x v="129"/>
    <x v="1"/>
  </r>
  <r>
    <n v="3378.96"/>
    <x v="282"/>
    <x v="1"/>
  </r>
  <r>
    <n v="3799.93"/>
    <x v="191"/>
    <x v="2"/>
  </r>
  <r>
    <n v="1833.66"/>
    <x v="125"/>
    <x v="2"/>
  </r>
  <r>
    <n v="552.95000000000005"/>
    <x v="105"/>
    <x v="2"/>
  </r>
  <r>
    <n v="3911.39"/>
    <x v="95"/>
    <x v="1"/>
  </r>
  <r>
    <n v="3189.64"/>
    <x v="177"/>
    <x v="1"/>
  </r>
  <r>
    <n v="3781.74"/>
    <x v="156"/>
    <x v="0"/>
  </r>
  <r>
    <n v="713.54"/>
    <x v="143"/>
    <x v="1"/>
  </r>
  <r>
    <n v="980.33"/>
    <x v="140"/>
    <x v="0"/>
  </r>
  <r>
    <n v="1143.8699999999999"/>
    <x v="267"/>
    <x v="2"/>
  </r>
  <r>
    <n v="2002.42"/>
    <x v="230"/>
    <x v="2"/>
  </r>
  <r>
    <n v="3165.77"/>
    <x v="106"/>
    <x v="0"/>
  </r>
  <r>
    <n v="2061.7399999999998"/>
    <x v="84"/>
    <x v="1"/>
  </r>
  <r>
    <n v="2978.36"/>
    <x v="96"/>
    <x v="0"/>
  </r>
  <r>
    <n v="2084.46"/>
    <x v="283"/>
    <x v="1"/>
  </r>
  <r>
    <n v="1210.06"/>
    <x v="284"/>
    <x v="2"/>
  </r>
  <r>
    <n v="1627.35"/>
    <x v="60"/>
    <x v="2"/>
  </r>
  <r>
    <n v="2753.1"/>
    <x v="81"/>
    <x v="2"/>
  </r>
  <r>
    <n v="3640.59"/>
    <x v="103"/>
    <x v="1"/>
  </r>
  <r>
    <n v="247.91"/>
    <x v="67"/>
    <x v="2"/>
  </r>
  <r>
    <n v="2047.41"/>
    <x v="261"/>
    <x v="2"/>
  </r>
  <r>
    <n v="1429.5"/>
    <x v="205"/>
    <x v="1"/>
  </r>
  <r>
    <n v="3518.35"/>
    <x v="67"/>
    <x v="0"/>
  </r>
  <r>
    <n v="4723.7700000000004"/>
    <x v="285"/>
    <x v="0"/>
  </r>
  <r>
    <n v="4955.58"/>
    <x v="213"/>
    <x v="1"/>
  </r>
  <r>
    <n v="399.21"/>
    <x v="286"/>
    <x v="2"/>
  </r>
  <r>
    <n v="532.9"/>
    <x v="223"/>
    <x v="2"/>
  </r>
  <r>
    <n v="611.96"/>
    <x v="61"/>
    <x v="0"/>
  </r>
  <r>
    <n v="1384.32"/>
    <x v="287"/>
    <x v="2"/>
  </r>
  <r>
    <n v="1940.53"/>
    <x v="97"/>
    <x v="1"/>
  </r>
  <r>
    <n v="771.19"/>
    <x v="144"/>
    <x v="0"/>
  </r>
  <r>
    <n v="4785.83"/>
    <x v="288"/>
    <x v="0"/>
  </r>
  <r>
    <n v="3593.42"/>
    <x v="153"/>
    <x v="2"/>
  </r>
  <r>
    <n v="3099.46"/>
    <x v="220"/>
    <x v="0"/>
  </r>
  <r>
    <n v="1757.68"/>
    <x v="197"/>
    <x v="2"/>
  </r>
  <r>
    <n v="3981.46"/>
    <x v="243"/>
    <x v="1"/>
  </r>
  <r>
    <n v="2994.35"/>
    <x v="20"/>
    <x v="0"/>
  </r>
  <r>
    <n v="2622.58"/>
    <x v="75"/>
    <x v="1"/>
  </r>
  <r>
    <n v="4787.32"/>
    <x v="150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38">
  <r>
    <x v="0"/>
    <n v="32875.4"/>
    <n v="1643.77"/>
  </r>
  <r>
    <x v="1"/>
    <n v="30066.74"/>
    <n v="812.61"/>
  </r>
  <r>
    <x v="2"/>
    <n v="9578.68"/>
    <n v="532.15"/>
  </r>
  <r>
    <x v="2"/>
    <n v="15427.74"/>
    <n v="964.23"/>
  </r>
  <r>
    <x v="3"/>
    <n v="6379.55"/>
    <n v="115.99"/>
  </r>
  <r>
    <x v="3"/>
    <n v="4190.0600000000004"/>
    <n v="71.02"/>
  </r>
  <r>
    <x v="3"/>
    <n v="10285.629999999999"/>
    <n v="270.67"/>
  </r>
  <r>
    <x v="4"/>
    <n v="35541.910000000003"/>
    <n v="1269.3499999999999"/>
  </r>
  <r>
    <x v="5"/>
    <n v="6749.45"/>
    <n v="114.4"/>
  </r>
  <r>
    <x v="5"/>
    <n v="40572.61"/>
    <n v="3120.97"/>
  </r>
  <r>
    <x v="5"/>
    <n v="1025.07"/>
    <n v="19.71"/>
  </r>
  <r>
    <x v="6"/>
    <n v="7018.97"/>
    <n v="123.14"/>
  </r>
  <r>
    <x v="6"/>
    <n v="34078.370000000003"/>
    <n v="2434.17"/>
  </r>
  <r>
    <x v="7"/>
    <n v="48202.63"/>
    <n v="1928.11"/>
  </r>
  <r>
    <x v="8"/>
    <n v="14580.01"/>
    <n v="275.08999999999997"/>
  </r>
  <r>
    <x v="9"/>
    <n v="20066.259999999998"/>
    <n v="364.84"/>
  </r>
  <r>
    <x v="10"/>
    <n v="6434.86"/>
    <n v="321.74"/>
  </r>
  <r>
    <x v="11"/>
    <n v="23247.52"/>
    <n v="596.09"/>
  </r>
  <r>
    <x v="12"/>
    <n v="26548.52"/>
    <n v="1021.1"/>
  </r>
  <r>
    <x v="12"/>
    <n v="34694.49"/>
    <n v="630.80999999999995"/>
  </r>
  <r>
    <x v="13"/>
    <n v="20331.04"/>
    <n v="390.98"/>
  </r>
  <r>
    <x v="13"/>
    <n v="39396.71"/>
    <n v="804.01"/>
  </r>
  <r>
    <x v="14"/>
    <n v="42136.68"/>
    <n v="1080.43"/>
  </r>
  <r>
    <x v="14"/>
    <n v="3745.17"/>
    <n v="138.71"/>
  </r>
  <r>
    <x v="15"/>
    <n v="31083.07"/>
    <n v="1351.44"/>
  </r>
  <r>
    <x v="16"/>
    <n v="14042.69"/>
    <n v="1003.05"/>
  </r>
  <r>
    <x v="17"/>
    <n v="29379.72"/>
    <n v="587.59"/>
  </r>
  <r>
    <x v="18"/>
    <n v="21060.55"/>
    <n v="915.68"/>
  </r>
  <r>
    <x v="18"/>
    <n v="29597.38"/>
    <n v="896.89"/>
  </r>
  <r>
    <x v="19"/>
    <n v="10460.450000000001"/>
    <n v="197.37"/>
  </r>
  <r>
    <x v="20"/>
    <n v="45075.5"/>
    <n v="959.05"/>
  </r>
  <r>
    <x v="20"/>
    <n v="1998.85"/>
    <n v="43.45"/>
  </r>
  <r>
    <x v="20"/>
    <n v="7576.06"/>
    <n v="132.91"/>
  </r>
  <r>
    <x v="21"/>
    <n v="22060.66"/>
    <n v="1225.5899999999999"/>
  </r>
  <r>
    <x v="22"/>
    <n v="24237.71"/>
    <n v="504.95"/>
  </r>
  <r>
    <x v="22"/>
    <n v="42408.53"/>
    <n v="3262.19"/>
  </r>
  <r>
    <x v="22"/>
    <n v="41138.46"/>
    <n v="697.26"/>
  </r>
  <r>
    <x v="23"/>
    <n v="41829.410000000003"/>
    <n v="733.85"/>
  </r>
  <r>
    <x v="23"/>
    <n v="33602.21"/>
    <n v="714.94"/>
  </r>
  <r>
    <x v="24"/>
    <n v="26225.75"/>
    <n v="690.15"/>
  </r>
  <r>
    <x v="24"/>
    <n v="41719.699999999997"/>
    <n v="2979.98"/>
  </r>
  <r>
    <x v="25"/>
    <n v="9448.73"/>
    <n v="201.04"/>
  </r>
  <r>
    <x v="25"/>
    <n v="46124.73"/>
    <n v="2427.62"/>
  </r>
  <r>
    <x v="26"/>
    <n v="10836.05"/>
    <n v="230.55"/>
  </r>
  <r>
    <x v="26"/>
    <n v="17033.259999999998"/>
    <n v="333.99"/>
  </r>
  <r>
    <x v="26"/>
    <n v="46774.9"/>
    <n v="2033.69"/>
  </r>
  <r>
    <x v="27"/>
    <n v="48529.73"/>
    <n v="1427.35"/>
  </r>
  <r>
    <x v="27"/>
    <n v="7618.33"/>
    <n v="544.16999999999996"/>
  </r>
  <r>
    <x v="28"/>
    <n v="8261.2199999999993"/>
    <n v="217.4"/>
  </r>
  <r>
    <x v="29"/>
    <n v="35365.75"/>
    <n v="609.75"/>
  </r>
  <r>
    <x v="30"/>
    <n v="48651.56"/>
    <n v="1013.57"/>
  </r>
  <r>
    <x v="31"/>
    <n v="13454.85"/>
    <n v="407.72"/>
  </r>
  <r>
    <x v="31"/>
    <n v="17033.759999999998"/>
    <n v="378.53"/>
  </r>
  <r>
    <x v="31"/>
    <n v="24017.25"/>
    <n v="461.87"/>
  </r>
  <r>
    <x v="32"/>
    <n v="18017.11"/>
    <n v="461.98"/>
  </r>
  <r>
    <x v="32"/>
    <n v="7374.18"/>
    <n v="153.63"/>
  </r>
  <r>
    <x v="32"/>
    <n v="25271.68"/>
    <n v="765.81"/>
  </r>
  <r>
    <x v="33"/>
    <n v="10723.3"/>
    <n v="243.71"/>
  </r>
  <r>
    <x v="33"/>
    <n v="13454.51"/>
    <n v="1121.21"/>
  </r>
  <r>
    <x v="34"/>
    <n v="38604.32"/>
    <n v="2270.84"/>
  </r>
  <r>
    <x v="34"/>
    <n v="3357.8"/>
    <n v="176.73"/>
  </r>
  <r>
    <x v="34"/>
    <n v="33370.11"/>
    <n v="878.16"/>
  </r>
  <r>
    <x v="35"/>
    <n v="4350.3599999999997"/>
    <n v="111.55"/>
  </r>
  <r>
    <x v="35"/>
    <n v="32511.9"/>
    <n v="1300.48"/>
  </r>
  <r>
    <x v="36"/>
    <n v="15301.34"/>
    <n v="437.18"/>
  </r>
  <r>
    <x v="36"/>
    <n v="7933.82"/>
    <n v="198.35"/>
  </r>
  <r>
    <x v="37"/>
    <n v="47439.07"/>
    <n v="1530.29"/>
  </r>
  <r>
    <x v="37"/>
    <n v="34293.25"/>
    <n v="1905.18"/>
  </r>
  <r>
    <x v="38"/>
    <n v="31655.71"/>
    <n v="1862.1"/>
  </r>
  <r>
    <x v="38"/>
    <n v="32164.76"/>
    <n v="748.02"/>
  </r>
  <r>
    <x v="39"/>
    <n v="10604.24"/>
    <n v="504.96"/>
  </r>
  <r>
    <x v="40"/>
    <n v="48747.15"/>
    <n v="3481.94"/>
  </r>
  <r>
    <x v="40"/>
    <n v="13763.32"/>
    <n v="573.47"/>
  </r>
  <r>
    <x v="41"/>
    <n v="5645.91"/>
    <n v="112.92"/>
  </r>
  <r>
    <x v="41"/>
    <n v="47404.480000000003"/>
    <n v="1215.5"/>
  </r>
  <r>
    <x v="41"/>
    <n v="34451.15"/>
    <n v="1187.97"/>
  </r>
  <r>
    <x v="42"/>
    <n v="40891.879999999997"/>
    <n v="1239.1500000000001"/>
  </r>
  <r>
    <x v="43"/>
    <n v="20543.419999999998"/>
    <n v="555.23"/>
  </r>
  <r>
    <x v="43"/>
    <n v="23904.99"/>
    <n v="468.73"/>
  </r>
  <r>
    <x v="43"/>
    <n v="42543.24"/>
    <n v="2025.87"/>
  </r>
  <r>
    <x v="44"/>
    <n v="15695.34"/>
    <n v="1207.33"/>
  </r>
  <r>
    <x v="44"/>
    <n v="12325.71"/>
    <n v="456.51"/>
  </r>
  <r>
    <x v="44"/>
    <n v="3009.62"/>
    <n v="88.52"/>
  </r>
  <r>
    <x v="45"/>
    <n v="34572.620000000003"/>
    <n v="585.98"/>
  </r>
  <r>
    <x v="45"/>
    <n v="42628.959999999999"/>
    <n v="947.31"/>
  </r>
  <r>
    <x v="46"/>
    <n v="35530.050000000003"/>
    <n v="2220.63"/>
  </r>
  <r>
    <x v="46"/>
    <n v="13030.3"/>
    <n v="245.85"/>
  </r>
  <r>
    <x v="47"/>
    <n v="18203.11"/>
    <n v="491.98"/>
  </r>
  <r>
    <x v="47"/>
    <n v="41896.129999999997"/>
    <n v="710.1"/>
  </r>
  <r>
    <x v="48"/>
    <n v="37440.15"/>
    <n v="764.08"/>
  </r>
  <r>
    <x v="49"/>
    <n v="12998.76"/>
    <n v="295.43"/>
  </r>
  <r>
    <x v="50"/>
    <n v="19675.12"/>
    <n v="562.15"/>
  </r>
  <r>
    <x v="51"/>
    <n v="17773.189999999999"/>
    <n v="335.34"/>
  </r>
  <r>
    <x v="51"/>
    <n v="44852.41"/>
    <n v="815.5"/>
  </r>
  <r>
    <x v="52"/>
    <n v="4981.71"/>
    <n v="237.22"/>
  </r>
  <r>
    <x v="53"/>
    <n v="12367.88"/>
    <n v="398.96"/>
  </r>
  <r>
    <x v="53"/>
    <n v="6243.04"/>
    <n v="390.19"/>
  </r>
  <r>
    <x v="53"/>
    <n v="18542.46"/>
    <n v="662.23"/>
  </r>
  <r>
    <x v="54"/>
    <n v="10793.71"/>
    <n v="513.99"/>
  </r>
  <r>
    <x v="55"/>
    <n v="12177.74"/>
    <n v="507.41"/>
  </r>
  <r>
    <x v="56"/>
    <n v="1090.77"/>
    <n v="29.48"/>
  </r>
  <r>
    <x v="57"/>
    <n v="26837.96"/>
    <n v="725.35"/>
  </r>
  <r>
    <x v="58"/>
    <n v="24739.599999999999"/>
    <n v="575.34"/>
  </r>
  <r>
    <x v="59"/>
    <n v="24788.44"/>
    <n v="486.05"/>
  </r>
  <r>
    <x v="59"/>
    <n v="42296.19"/>
    <n v="1762.34"/>
  </r>
  <r>
    <x v="60"/>
    <n v="13164.96"/>
    <n v="329.12"/>
  </r>
  <r>
    <x v="60"/>
    <n v="33830.22"/>
    <n v="563.84"/>
  </r>
  <r>
    <x v="60"/>
    <n v="9608.41"/>
    <n v="259.69"/>
  </r>
  <r>
    <x v="61"/>
    <n v="47467.87"/>
    <n v="1695.28"/>
  </r>
  <r>
    <x v="61"/>
    <n v="26344.77"/>
    <n v="878.16"/>
  </r>
  <r>
    <x v="62"/>
    <n v="48928.32"/>
    <n v="906.08"/>
  </r>
  <r>
    <x v="63"/>
    <n v="17440.47"/>
    <n v="363.34"/>
  </r>
  <r>
    <x v="64"/>
    <n v="5654.47"/>
    <n v="157.07"/>
  </r>
  <r>
    <x v="65"/>
    <n v="27181.52"/>
    <n v="554.72"/>
  </r>
  <r>
    <x v="65"/>
    <n v="25659.56"/>
    <n v="1710.64"/>
  </r>
  <r>
    <x v="65"/>
    <n v="36905.01"/>
    <n v="659.02"/>
  </r>
  <r>
    <x v="66"/>
    <n v="29280.03"/>
    <n v="597.54999999999995"/>
  </r>
  <r>
    <x v="67"/>
    <n v="21848.95"/>
    <n v="485.53"/>
  </r>
  <r>
    <x v="67"/>
    <n v="25671.21"/>
    <n v="950.79"/>
  </r>
  <r>
    <x v="67"/>
    <n v="27834.5"/>
    <n v="556.69000000000005"/>
  </r>
  <r>
    <x v="68"/>
    <n v="44692.11"/>
    <n v="876.32"/>
  </r>
  <r>
    <x v="68"/>
    <n v="10128.57"/>
    <n v="177.69"/>
  </r>
  <r>
    <x v="69"/>
    <n v="13606.48"/>
    <n v="316.43"/>
  </r>
  <r>
    <x v="70"/>
    <n v="35223.56"/>
    <n v="1853.87"/>
  </r>
  <r>
    <x v="70"/>
    <n v="49617.36"/>
    <n v="1127.67"/>
  </r>
  <r>
    <x v="71"/>
    <n v="26215.18"/>
    <n v="557.77"/>
  </r>
  <r>
    <x v="72"/>
    <n v="21600.26"/>
    <n v="450.01"/>
  </r>
  <r>
    <x v="72"/>
    <n v="33094.870000000003"/>
    <n v="719.45"/>
  </r>
  <r>
    <x v="72"/>
    <n v="27933.4"/>
    <n v="481.61"/>
  </r>
  <r>
    <x v="73"/>
    <n v="14843.79"/>
    <n v="247.4"/>
  </r>
  <r>
    <x v="73"/>
    <n v="10191.209999999999"/>
    <n v="261.31"/>
  </r>
  <r>
    <x v="73"/>
    <n v="49703.15"/>
    <n v="4141.93"/>
  </r>
  <r>
    <x v="74"/>
    <n v="33796.68"/>
    <n v="1609.37"/>
  </r>
  <r>
    <x v="74"/>
    <n v="28159.65"/>
    <n v="563.19000000000005"/>
  </r>
  <r>
    <x v="74"/>
    <n v="34881.33"/>
    <n v="634.21"/>
  </r>
  <r>
    <x v="75"/>
    <n v="48320.52"/>
    <n v="3451.47"/>
  </r>
  <r>
    <x v="75"/>
    <n v="26365.86"/>
    <n v="454.58"/>
  </r>
  <r>
    <x v="75"/>
    <n v="39108.300000000003"/>
    <n v="2607.21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1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P3:S81" firstHeaderRow="1" firstDataRow="2" firstDataCol="1"/>
  <pivotFields count="3">
    <pivotField axis="axisRow" dataField="1" showAll="0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dataField="1" showAll="0"/>
    <pivotField dataField="1" showAll="0"/>
  </pivotFields>
  <rowFields count="1">
    <field x="0"/>
  </rowFields>
  <rowItems count="7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uma_credit" fld="1" baseField="0" baseItem="0"/>
    <dataField name="Sum of rata_lunara" fld="2" baseField="0" baseItem="0"/>
    <dataField name="Count of id_client" fld="0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6" cacheId="1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B25:C29" firstHeaderRow="1" firstDataRow="1" firstDataCol="1"/>
  <pivotFields count="3">
    <pivotField dataField="1" showAll="0"/>
    <pivotField numFmtId="164" showAll="0">
      <items count="290">
        <item x="163"/>
        <item x="272"/>
        <item x="99"/>
        <item x="183"/>
        <item x="19"/>
        <item x="262"/>
        <item x="25"/>
        <item x="137"/>
        <item x="128"/>
        <item x="86"/>
        <item x="175"/>
        <item x="103"/>
        <item x="179"/>
        <item x="223"/>
        <item x="156"/>
        <item x="78"/>
        <item x="104"/>
        <item x="54"/>
        <item x="87"/>
        <item x="146"/>
        <item x="164"/>
        <item x="13"/>
        <item x="27"/>
        <item x="74"/>
        <item x="178"/>
        <item x="114"/>
        <item x="48"/>
        <item x="57"/>
        <item x="233"/>
        <item x="67"/>
        <item x="234"/>
        <item x="116"/>
        <item x="257"/>
        <item x="212"/>
        <item x="45"/>
        <item x="49"/>
        <item x="276"/>
        <item x="279"/>
        <item x="14"/>
        <item x="89"/>
        <item x="119"/>
        <item x="244"/>
        <item x="255"/>
        <item x="9"/>
        <item x="261"/>
        <item x="221"/>
        <item x="143"/>
        <item x="215"/>
        <item x="243"/>
        <item x="64"/>
        <item x="59"/>
        <item x="96"/>
        <item x="130"/>
        <item x="285"/>
        <item x="83"/>
        <item x="112"/>
        <item x="18"/>
        <item x="174"/>
        <item x="200"/>
        <item x="193"/>
        <item x="220"/>
        <item x="55"/>
        <item x="66"/>
        <item x="213"/>
        <item x="271"/>
        <item x="38"/>
        <item x="185"/>
        <item x="51"/>
        <item x="186"/>
        <item x="231"/>
        <item x="32"/>
        <item x="258"/>
        <item x="208"/>
        <item x="139"/>
        <item x="151"/>
        <item x="201"/>
        <item x="82"/>
        <item x="132"/>
        <item x="41"/>
        <item x="93"/>
        <item x="53"/>
        <item x="135"/>
        <item x="218"/>
        <item x="10"/>
        <item x="270"/>
        <item x="84"/>
        <item x="264"/>
        <item x="165"/>
        <item x="278"/>
        <item x="228"/>
        <item x="111"/>
        <item x="266"/>
        <item x="239"/>
        <item x="63"/>
        <item x="235"/>
        <item x="190"/>
        <item x="77"/>
        <item x="105"/>
        <item x="95"/>
        <item x="287"/>
        <item x="122"/>
        <item x="176"/>
        <item x="189"/>
        <item x="144"/>
        <item x="217"/>
        <item x="100"/>
        <item x="29"/>
        <item x="50"/>
        <item x="126"/>
        <item x="236"/>
        <item x="30"/>
        <item x="274"/>
        <item x="172"/>
        <item x="159"/>
        <item x="91"/>
        <item x="70"/>
        <item x="24"/>
        <item x="166"/>
        <item x="161"/>
        <item x="192"/>
        <item x="149"/>
        <item x="43"/>
        <item x="60"/>
        <item x="4"/>
        <item x="31"/>
        <item x="21"/>
        <item x="281"/>
        <item x="98"/>
        <item x="56"/>
        <item x="33"/>
        <item x="204"/>
        <item x="232"/>
        <item x="180"/>
        <item x="259"/>
        <item x="229"/>
        <item x="173"/>
        <item x="58"/>
        <item x="171"/>
        <item x="286"/>
        <item x="81"/>
        <item x="260"/>
        <item x="214"/>
        <item x="123"/>
        <item x="131"/>
        <item x="160"/>
        <item x="20"/>
        <item x="277"/>
        <item x="88"/>
        <item x="282"/>
        <item x="252"/>
        <item x="206"/>
        <item x="269"/>
        <item x="224"/>
        <item x="150"/>
        <item x="197"/>
        <item x="241"/>
        <item x="207"/>
        <item x="153"/>
        <item x="124"/>
        <item x="268"/>
        <item x="158"/>
        <item x="101"/>
        <item x="184"/>
        <item x="108"/>
        <item x="169"/>
        <item x="26"/>
        <item x="8"/>
        <item x="170"/>
        <item x="71"/>
        <item x="142"/>
        <item x="157"/>
        <item x="230"/>
        <item x="2"/>
        <item x="246"/>
        <item x="198"/>
        <item x="12"/>
        <item x="68"/>
        <item x="92"/>
        <item x="240"/>
        <item x="65"/>
        <item x="44"/>
        <item x="102"/>
        <item x="73"/>
        <item x="115"/>
        <item x="182"/>
        <item x="94"/>
        <item x="168"/>
        <item x="106"/>
        <item x="162"/>
        <item x="195"/>
        <item x="109"/>
        <item x="275"/>
        <item x="134"/>
        <item x="118"/>
        <item x="242"/>
        <item x="62"/>
        <item x="226"/>
        <item x="284"/>
        <item x="140"/>
        <item x="75"/>
        <item x="237"/>
        <item x="79"/>
        <item x="90"/>
        <item x="177"/>
        <item x="251"/>
        <item x="42"/>
        <item x="97"/>
        <item x="227"/>
        <item x="194"/>
        <item x="205"/>
        <item x="117"/>
        <item x="141"/>
        <item x="34"/>
        <item x="152"/>
        <item x="127"/>
        <item x="47"/>
        <item x="187"/>
        <item x="280"/>
        <item x="121"/>
        <item x="199"/>
        <item x="148"/>
        <item x="202"/>
        <item x="203"/>
        <item x="154"/>
        <item x="40"/>
        <item x="209"/>
        <item x="1"/>
        <item x="3"/>
        <item x="167"/>
        <item x="23"/>
        <item x="247"/>
        <item x="39"/>
        <item x="120"/>
        <item x="80"/>
        <item x="253"/>
        <item x="196"/>
        <item x="267"/>
        <item x="0"/>
        <item x="222"/>
        <item x="263"/>
        <item x="250"/>
        <item x="17"/>
        <item x="191"/>
        <item x="16"/>
        <item x="6"/>
        <item x="155"/>
        <item x="181"/>
        <item x="85"/>
        <item x="22"/>
        <item x="238"/>
        <item x="216"/>
        <item x="188"/>
        <item x="61"/>
        <item x="7"/>
        <item x="35"/>
        <item x="15"/>
        <item x="210"/>
        <item x="76"/>
        <item x="245"/>
        <item x="36"/>
        <item x="5"/>
        <item x="288"/>
        <item x="113"/>
        <item x="145"/>
        <item x="273"/>
        <item x="265"/>
        <item x="219"/>
        <item x="107"/>
        <item x="256"/>
        <item x="211"/>
        <item x="254"/>
        <item x="69"/>
        <item x="110"/>
        <item x="125"/>
        <item x="129"/>
        <item x="72"/>
        <item x="11"/>
        <item x="249"/>
        <item x="52"/>
        <item x="37"/>
        <item x="133"/>
        <item x="147"/>
        <item x="136"/>
        <item x="248"/>
        <item x="138"/>
        <item x="283"/>
        <item x="28"/>
        <item x="225"/>
        <item x="46"/>
        <item t="default"/>
      </items>
    </pivotField>
    <pivotField axis="axisRow" showAll="0">
      <items count="4">
        <item x="2"/>
        <item x="0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uma"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B3:C6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old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B9:E12" totalsRowShown="0" headerRowDxfId="7" dataDxfId="8">
  <autoFilter ref="B9:E12"/>
  <tableColumns count="4">
    <tableColumn id="1" name="Scenariu" dataDxfId="1"/>
    <tableColumn id="2" name="Sold total" dataDxfId="0"/>
    <tableColumn id="3" name="Suma totală credite" dataDxfId="10"/>
    <tableColumn id="4" name="Rată lunară totală" dataDxfId="9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I9:K12" totalsRowShown="0" headerRowDxfId="2" dataDxfId="3">
  <autoFilter ref="I9:K12"/>
  <tableColumns count="3">
    <tableColumn id="1" name="Scenariu" dataDxfId="6"/>
    <tableColumn id="2" name="Scor_Performanță" dataDxfId="5"/>
    <tableColumn id="3" name="Rank" dataDxfId="4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>
      <selection activeCell="M100" sqref="M100"/>
    </sheetView>
  </sheetViews>
  <sheetFormatPr defaultRowHeight="14.4"/>
  <cols>
    <col min="4" max="4" width="15" customWidth="1"/>
    <col min="5" max="5" width="22.33203125" customWidth="1"/>
    <col min="6" max="6" width="12.6640625" customWidth="1"/>
    <col min="10" max="10" width="24.77734375" customWidth="1"/>
    <col min="11" max="11" width="13.88671875" style="5" customWidth="1"/>
    <col min="12" max="12" width="16.33203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s="5" t="s">
        <v>904</v>
      </c>
      <c r="K1" s="5" t="s">
        <v>911</v>
      </c>
      <c r="L1" s="5" t="s">
        <v>912</v>
      </c>
    </row>
    <row r="2" spans="1:12">
      <c r="A2">
        <v>1</v>
      </c>
      <c r="B2" t="s">
        <v>6</v>
      </c>
      <c r="C2" t="s">
        <v>31</v>
      </c>
      <c r="D2" t="s">
        <v>49</v>
      </c>
      <c r="E2" t="s">
        <v>149</v>
      </c>
      <c r="F2" t="s">
        <v>244</v>
      </c>
      <c r="J2" t="str">
        <f>IF(ISBLANK(F2),"Lipsă","OK")</f>
        <v>OK</v>
      </c>
      <c r="K2" s="6" t="str">
        <f>IF(LEN(D2)=13,"OK","Invalid")</f>
        <v>OK</v>
      </c>
      <c r="L2" t="str">
        <f>IF(LEN(F2)=10,"OK","Invalid")</f>
        <v>OK</v>
      </c>
    </row>
    <row r="3" spans="1:12">
      <c r="A3">
        <v>2</v>
      </c>
      <c r="B3" t="s">
        <v>7</v>
      </c>
      <c r="C3" t="s">
        <v>32</v>
      </c>
      <c r="D3" t="s">
        <v>50</v>
      </c>
      <c r="E3" t="s">
        <v>150</v>
      </c>
      <c r="F3" t="s">
        <v>245</v>
      </c>
      <c r="J3" t="str">
        <f t="shared" ref="J3:J66" si="0">IF(ISBLANK(F3),"Lipsă","OK")</f>
        <v>OK</v>
      </c>
      <c r="K3" s="6" t="str">
        <f t="shared" ref="K3:K66" si="1">IF(LEN(D3)=13,"OK","Invalid")</f>
        <v>OK</v>
      </c>
      <c r="L3" t="str">
        <f t="shared" ref="L3:L66" si="2">IF(LEN(F3)=10,"OK","Invalid")</f>
        <v>OK</v>
      </c>
    </row>
    <row r="4" spans="1:12">
      <c r="A4">
        <v>3</v>
      </c>
      <c r="B4" t="s">
        <v>8</v>
      </c>
      <c r="C4" t="s">
        <v>33</v>
      </c>
      <c r="D4" t="s">
        <v>51</v>
      </c>
      <c r="E4" t="s">
        <v>151</v>
      </c>
      <c r="F4" t="s">
        <v>246</v>
      </c>
      <c r="J4" t="str">
        <f t="shared" si="0"/>
        <v>OK</v>
      </c>
      <c r="K4" s="6" t="str">
        <f t="shared" si="1"/>
        <v>OK</v>
      </c>
      <c r="L4" t="str">
        <f t="shared" si="2"/>
        <v>OK</v>
      </c>
    </row>
    <row r="5" spans="1:12">
      <c r="A5">
        <v>4</v>
      </c>
      <c r="B5" t="s">
        <v>9</v>
      </c>
      <c r="C5" t="s">
        <v>34</v>
      </c>
      <c r="D5" t="s">
        <v>52</v>
      </c>
      <c r="E5" t="s">
        <v>152</v>
      </c>
      <c r="F5" t="s">
        <v>247</v>
      </c>
      <c r="J5" t="str">
        <f t="shared" si="0"/>
        <v>OK</v>
      </c>
      <c r="K5" s="6" t="str">
        <f t="shared" si="1"/>
        <v>OK</v>
      </c>
      <c r="L5" t="str">
        <f t="shared" si="2"/>
        <v>OK</v>
      </c>
    </row>
    <row r="6" spans="1:12">
      <c r="A6">
        <v>5</v>
      </c>
      <c r="B6" t="s">
        <v>10</v>
      </c>
      <c r="C6" t="s">
        <v>35</v>
      </c>
      <c r="D6" t="s">
        <v>53</v>
      </c>
      <c r="E6" t="s">
        <v>153</v>
      </c>
      <c r="F6" t="s">
        <v>248</v>
      </c>
      <c r="J6" t="str">
        <f t="shared" si="0"/>
        <v>OK</v>
      </c>
      <c r="K6" s="6" t="str">
        <f t="shared" si="1"/>
        <v>OK</v>
      </c>
      <c r="L6" t="str">
        <f t="shared" si="2"/>
        <v>OK</v>
      </c>
    </row>
    <row r="7" spans="1:12">
      <c r="A7">
        <v>6</v>
      </c>
      <c r="B7" t="s">
        <v>11</v>
      </c>
      <c r="C7" t="s">
        <v>36</v>
      </c>
      <c r="D7" t="s">
        <v>54</v>
      </c>
      <c r="E7" t="s">
        <v>154</v>
      </c>
      <c r="F7" t="s">
        <v>249</v>
      </c>
      <c r="J7" t="str">
        <f t="shared" si="0"/>
        <v>OK</v>
      </c>
      <c r="K7" s="6" t="str">
        <f t="shared" si="1"/>
        <v>OK</v>
      </c>
      <c r="L7" t="str">
        <f t="shared" si="2"/>
        <v>OK</v>
      </c>
    </row>
    <row r="8" spans="1:12">
      <c r="A8">
        <v>7</v>
      </c>
      <c r="B8" t="s">
        <v>12</v>
      </c>
      <c r="C8" t="s">
        <v>37</v>
      </c>
      <c r="D8" t="s">
        <v>55</v>
      </c>
      <c r="E8" t="s">
        <v>155</v>
      </c>
      <c r="F8" t="s">
        <v>250</v>
      </c>
      <c r="J8" t="str">
        <f t="shared" si="0"/>
        <v>OK</v>
      </c>
      <c r="K8" s="6" t="str">
        <f t="shared" si="1"/>
        <v>OK</v>
      </c>
      <c r="L8" t="str">
        <f t="shared" si="2"/>
        <v>OK</v>
      </c>
    </row>
    <row r="9" spans="1:12">
      <c r="A9">
        <v>8</v>
      </c>
      <c r="B9" t="s">
        <v>13</v>
      </c>
      <c r="C9" t="s">
        <v>38</v>
      </c>
      <c r="D9" t="s">
        <v>56</v>
      </c>
      <c r="E9" t="s">
        <v>156</v>
      </c>
      <c r="F9" t="s">
        <v>251</v>
      </c>
      <c r="J9" t="str">
        <f t="shared" si="0"/>
        <v>OK</v>
      </c>
      <c r="K9" s="6" t="str">
        <f t="shared" si="1"/>
        <v>OK</v>
      </c>
      <c r="L9" t="str">
        <f t="shared" si="2"/>
        <v>OK</v>
      </c>
    </row>
    <row r="10" spans="1:12">
      <c r="A10">
        <v>9</v>
      </c>
      <c r="B10" t="s">
        <v>14</v>
      </c>
      <c r="C10" t="s">
        <v>39</v>
      </c>
      <c r="D10" t="s">
        <v>57</v>
      </c>
      <c r="E10" t="s">
        <v>157</v>
      </c>
      <c r="F10" t="s">
        <v>252</v>
      </c>
      <c r="J10" t="str">
        <f t="shared" si="0"/>
        <v>OK</v>
      </c>
      <c r="K10" s="6" t="str">
        <f t="shared" si="1"/>
        <v>OK</v>
      </c>
      <c r="L10" t="str">
        <f t="shared" si="2"/>
        <v>OK</v>
      </c>
    </row>
    <row r="11" spans="1:12">
      <c r="A11">
        <v>10</v>
      </c>
      <c r="B11" t="s">
        <v>15</v>
      </c>
      <c r="C11" t="s">
        <v>40</v>
      </c>
      <c r="D11" t="s">
        <v>58</v>
      </c>
      <c r="E11" t="s">
        <v>158</v>
      </c>
      <c r="F11" t="s">
        <v>253</v>
      </c>
      <c r="J11" t="str">
        <f t="shared" si="0"/>
        <v>OK</v>
      </c>
      <c r="K11" s="6" t="str">
        <f t="shared" si="1"/>
        <v>OK</v>
      </c>
      <c r="L11" t="str">
        <f t="shared" si="2"/>
        <v>OK</v>
      </c>
    </row>
    <row r="12" spans="1:12">
      <c r="A12">
        <v>11</v>
      </c>
      <c r="B12" t="s">
        <v>16</v>
      </c>
      <c r="C12" t="s">
        <v>41</v>
      </c>
      <c r="D12" t="s">
        <v>59</v>
      </c>
      <c r="E12" t="s">
        <v>159</v>
      </c>
      <c r="F12" t="s">
        <v>254</v>
      </c>
      <c r="J12" t="str">
        <f t="shared" si="0"/>
        <v>OK</v>
      </c>
      <c r="K12" s="6" t="str">
        <f t="shared" si="1"/>
        <v>OK</v>
      </c>
      <c r="L12" t="str">
        <f t="shared" si="2"/>
        <v>OK</v>
      </c>
    </row>
    <row r="13" spans="1:12">
      <c r="A13">
        <v>12</v>
      </c>
      <c r="B13" t="s">
        <v>17</v>
      </c>
      <c r="C13" t="s">
        <v>42</v>
      </c>
      <c r="D13" t="s">
        <v>60</v>
      </c>
      <c r="E13" t="s">
        <v>160</v>
      </c>
      <c r="F13" t="s">
        <v>255</v>
      </c>
      <c r="J13" t="str">
        <f t="shared" si="0"/>
        <v>OK</v>
      </c>
      <c r="K13" s="6" t="str">
        <f t="shared" si="1"/>
        <v>OK</v>
      </c>
      <c r="L13" t="str">
        <f t="shared" si="2"/>
        <v>OK</v>
      </c>
    </row>
    <row r="14" spans="1:12">
      <c r="A14">
        <v>13</v>
      </c>
      <c r="B14" t="s">
        <v>18</v>
      </c>
      <c r="C14" t="s">
        <v>43</v>
      </c>
      <c r="D14" t="s">
        <v>61</v>
      </c>
      <c r="E14" t="s">
        <v>161</v>
      </c>
      <c r="F14" t="s">
        <v>256</v>
      </c>
      <c r="J14" t="str">
        <f t="shared" si="0"/>
        <v>OK</v>
      </c>
      <c r="K14" s="6" t="str">
        <f t="shared" si="1"/>
        <v>OK</v>
      </c>
      <c r="L14" t="str">
        <f t="shared" si="2"/>
        <v>OK</v>
      </c>
    </row>
    <row r="15" spans="1:12">
      <c r="A15">
        <v>14</v>
      </c>
      <c r="B15" t="s">
        <v>19</v>
      </c>
      <c r="C15" t="s">
        <v>44</v>
      </c>
      <c r="D15" t="s">
        <v>62</v>
      </c>
      <c r="E15" t="s">
        <v>162</v>
      </c>
      <c r="F15" t="s">
        <v>257</v>
      </c>
      <c r="J15" t="str">
        <f t="shared" si="0"/>
        <v>OK</v>
      </c>
      <c r="K15" s="6" t="str">
        <f t="shared" si="1"/>
        <v>OK</v>
      </c>
      <c r="L15" t="str">
        <f t="shared" si="2"/>
        <v>OK</v>
      </c>
    </row>
    <row r="16" spans="1:12">
      <c r="A16">
        <v>15</v>
      </c>
      <c r="B16" t="s">
        <v>20</v>
      </c>
      <c r="C16" t="s">
        <v>45</v>
      </c>
      <c r="D16" t="s">
        <v>63</v>
      </c>
      <c r="E16" t="s">
        <v>163</v>
      </c>
      <c r="F16" t="s">
        <v>258</v>
      </c>
      <c r="J16" t="str">
        <f t="shared" si="0"/>
        <v>OK</v>
      </c>
      <c r="K16" s="6" t="str">
        <f t="shared" si="1"/>
        <v>OK</v>
      </c>
      <c r="L16" t="str">
        <f t="shared" si="2"/>
        <v>OK</v>
      </c>
    </row>
    <row r="17" spans="1:12">
      <c r="A17">
        <v>16</v>
      </c>
      <c r="B17" t="s">
        <v>21</v>
      </c>
      <c r="C17" t="s">
        <v>37</v>
      </c>
      <c r="D17" t="s">
        <v>64</v>
      </c>
      <c r="E17" t="s">
        <v>164</v>
      </c>
      <c r="F17" t="s">
        <v>259</v>
      </c>
      <c r="J17" t="str">
        <f t="shared" si="0"/>
        <v>OK</v>
      </c>
      <c r="K17" s="6" t="str">
        <f t="shared" si="1"/>
        <v>OK</v>
      </c>
      <c r="L17" t="str">
        <f t="shared" si="2"/>
        <v>OK</v>
      </c>
    </row>
    <row r="18" spans="1:12">
      <c r="A18">
        <v>17</v>
      </c>
      <c r="B18" t="s">
        <v>22</v>
      </c>
      <c r="C18" t="s">
        <v>43</v>
      </c>
      <c r="D18" t="s">
        <v>65</v>
      </c>
      <c r="E18" t="s">
        <v>165</v>
      </c>
      <c r="F18" t="s">
        <v>260</v>
      </c>
      <c r="J18" t="str">
        <f t="shared" si="0"/>
        <v>OK</v>
      </c>
      <c r="K18" s="6" t="str">
        <f t="shared" si="1"/>
        <v>OK</v>
      </c>
      <c r="L18" t="str">
        <f t="shared" si="2"/>
        <v>OK</v>
      </c>
    </row>
    <row r="19" spans="1:12">
      <c r="A19">
        <v>18</v>
      </c>
      <c r="B19" t="s">
        <v>23</v>
      </c>
      <c r="C19" t="s">
        <v>46</v>
      </c>
      <c r="D19" t="s">
        <v>66</v>
      </c>
      <c r="E19" t="s">
        <v>166</v>
      </c>
      <c r="F19" t="s">
        <v>261</v>
      </c>
      <c r="J19" t="str">
        <f t="shared" si="0"/>
        <v>OK</v>
      </c>
      <c r="K19" s="6" t="str">
        <f t="shared" si="1"/>
        <v>OK</v>
      </c>
      <c r="L19" t="str">
        <f t="shared" si="2"/>
        <v>OK</v>
      </c>
    </row>
    <row r="20" spans="1:12">
      <c r="A20">
        <v>19</v>
      </c>
      <c r="B20" t="s">
        <v>24</v>
      </c>
      <c r="C20" t="s">
        <v>38</v>
      </c>
      <c r="D20" t="s">
        <v>67</v>
      </c>
      <c r="E20" t="s">
        <v>167</v>
      </c>
      <c r="F20" t="s">
        <v>262</v>
      </c>
      <c r="J20" t="str">
        <f t="shared" si="0"/>
        <v>OK</v>
      </c>
      <c r="K20" s="6" t="str">
        <f t="shared" si="1"/>
        <v>OK</v>
      </c>
      <c r="L20" t="str">
        <f t="shared" si="2"/>
        <v>OK</v>
      </c>
    </row>
    <row r="21" spans="1:12">
      <c r="A21">
        <v>20</v>
      </c>
      <c r="B21" t="s">
        <v>25</v>
      </c>
      <c r="C21" t="s">
        <v>47</v>
      </c>
      <c r="D21" t="s">
        <v>68</v>
      </c>
      <c r="E21" t="s">
        <v>168</v>
      </c>
      <c r="F21" t="s">
        <v>263</v>
      </c>
      <c r="J21" t="str">
        <f t="shared" si="0"/>
        <v>OK</v>
      </c>
      <c r="K21" s="6" t="str">
        <f t="shared" si="1"/>
        <v>OK</v>
      </c>
      <c r="L21" t="str">
        <f t="shared" si="2"/>
        <v>OK</v>
      </c>
    </row>
    <row r="22" spans="1:12">
      <c r="A22">
        <v>21</v>
      </c>
      <c r="B22" t="s">
        <v>26</v>
      </c>
      <c r="C22" t="s">
        <v>32</v>
      </c>
      <c r="D22" t="s">
        <v>69</v>
      </c>
      <c r="E22" t="s">
        <v>169</v>
      </c>
      <c r="F22" t="s">
        <v>264</v>
      </c>
      <c r="J22" t="str">
        <f t="shared" si="0"/>
        <v>OK</v>
      </c>
      <c r="K22" s="6" t="str">
        <f t="shared" si="1"/>
        <v>OK</v>
      </c>
      <c r="L22" t="str">
        <f t="shared" si="2"/>
        <v>OK</v>
      </c>
    </row>
    <row r="23" spans="1:12">
      <c r="A23">
        <v>22</v>
      </c>
      <c r="B23" t="s">
        <v>23</v>
      </c>
      <c r="C23" t="s">
        <v>37</v>
      </c>
      <c r="D23" t="s">
        <v>70</v>
      </c>
      <c r="E23" t="s">
        <v>170</v>
      </c>
      <c r="F23" t="s">
        <v>265</v>
      </c>
      <c r="J23" t="str">
        <f t="shared" si="0"/>
        <v>OK</v>
      </c>
      <c r="K23" s="6" t="str">
        <f t="shared" si="1"/>
        <v>OK</v>
      </c>
      <c r="L23" t="str">
        <f t="shared" si="2"/>
        <v>OK</v>
      </c>
    </row>
    <row r="24" spans="1:12">
      <c r="A24">
        <v>23</v>
      </c>
      <c r="B24" t="s">
        <v>25</v>
      </c>
      <c r="C24" t="s">
        <v>37</v>
      </c>
      <c r="D24" t="s">
        <v>71</v>
      </c>
      <c r="E24" t="s">
        <v>171</v>
      </c>
      <c r="F24" t="s">
        <v>266</v>
      </c>
      <c r="J24" t="str">
        <f t="shared" si="0"/>
        <v>OK</v>
      </c>
      <c r="K24" s="6" t="str">
        <f t="shared" si="1"/>
        <v>OK</v>
      </c>
      <c r="L24" t="str">
        <f t="shared" si="2"/>
        <v>OK</v>
      </c>
    </row>
    <row r="25" spans="1:12">
      <c r="A25">
        <v>24</v>
      </c>
      <c r="B25" t="s">
        <v>27</v>
      </c>
      <c r="C25" t="s">
        <v>35</v>
      </c>
      <c r="D25" t="s">
        <v>72</v>
      </c>
      <c r="E25" t="s">
        <v>172</v>
      </c>
      <c r="F25" t="s">
        <v>267</v>
      </c>
      <c r="J25" t="str">
        <f t="shared" si="0"/>
        <v>OK</v>
      </c>
      <c r="K25" s="6" t="str">
        <f t="shared" si="1"/>
        <v>OK</v>
      </c>
      <c r="L25" t="str">
        <f t="shared" si="2"/>
        <v>OK</v>
      </c>
    </row>
    <row r="26" spans="1:12">
      <c r="A26">
        <v>25</v>
      </c>
      <c r="B26" t="s">
        <v>24</v>
      </c>
      <c r="C26" t="s">
        <v>43</v>
      </c>
      <c r="D26" t="s">
        <v>73</v>
      </c>
      <c r="E26" t="s">
        <v>173</v>
      </c>
      <c r="F26" t="s">
        <v>268</v>
      </c>
      <c r="J26" t="str">
        <f t="shared" si="0"/>
        <v>OK</v>
      </c>
      <c r="K26" s="6" t="str">
        <f t="shared" si="1"/>
        <v>OK</v>
      </c>
      <c r="L26" t="str">
        <f t="shared" si="2"/>
        <v>OK</v>
      </c>
    </row>
    <row r="27" spans="1:12">
      <c r="A27">
        <v>26</v>
      </c>
      <c r="B27" t="s">
        <v>21</v>
      </c>
      <c r="C27" t="s">
        <v>47</v>
      </c>
      <c r="D27" t="s">
        <v>74</v>
      </c>
      <c r="E27" t="s">
        <v>174</v>
      </c>
      <c r="F27" t="s">
        <v>269</v>
      </c>
      <c r="J27" t="str">
        <f t="shared" si="0"/>
        <v>OK</v>
      </c>
      <c r="K27" s="6" t="str">
        <f t="shared" si="1"/>
        <v>OK</v>
      </c>
      <c r="L27" t="str">
        <f t="shared" si="2"/>
        <v>OK</v>
      </c>
    </row>
    <row r="28" spans="1:12">
      <c r="A28">
        <v>27</v>
      </c>
      <c r="B28" t="s">
        <v>28</v>
      </c>
      <c r="C28" t="s">
        <v>47</v>
      </c>
      <c r="D28" t="s">
        <v>75</v>
      </c>
      <c r="E28" t="s">
        <v>175</v>
      </c>
      <c r="F28" t="s">
        <v>270</v>
      </c>
      <c r="J28" t="str">
        <f t="shared" si="0"/>
        <v>OK</v>
      </c>
      <c r="K28" s="6" t="str">
        <f t="shared" si="1"/>
        <v>OK</v>
      </c>
      <c r="L28" t="str">
        <f t="shared" si="2"/>
        <v>OK</v>
      </c>
    </row>
    <row r="29" spans="1:12">
      <c r="A29">
        <v>28</v>
      </c>
      <c r="B29" t="s">
        <v>27</v>
      </c>
      <c r="C29" t="s">
        <v>47</v>
      </c>
      <c r="D29" t="s">
        <v>76</v>
      </c>
      <c r="E29" t="s">
        <v>176</v>
      </c>
      <c r="F29" t="s">
        <v>271</v>
      </c>
      <c r="J29" t="str">
        <f t="shared" si="0"/>
        <v>OK</v>
      </c>
      <c r="K29" s="6" t="str">
        <f t="shared" si="1"/>
        <v>OK</v>
      </c>
      <c r="L29" t="str">
        <f t="shared" si="2"/>
        <v>OK</v>
      </c>
    </row>
    <row r="30" spans="1:12">
      <c r="A30">
        <v>29</v>
      </c>
      <c r="B30" t="s">
        <v>22</v>
      </c>
      <c r="C30" t="s">
        <v>48</v>
      </c>
      <c r="D30" t="s">
        <v>77</v>
      </c>
      <c r="E30" t="s">
        <v>177</v>
      </c>
      <c r="F30" t="s">
        <v>272</v>
      </c>
      <c r="J30" t="str">
        <f t="shared" si="0"/>
        <v>OK</v>
      </c>
      <c r="K30" s="6" t="str">
        <f t="shared" si="1"/>
        <v>OK</v>
      </c>
      <c r="L30" t="str">
        <f t="shared" si="2"/>
        <v>OK</v>
      </c>
    </row>
    <row r="31" spans="1:12">
      <c r="A31">
        <v>30</v>
      </c>
      <c r="B31" t="s">
        <v>21</v>
      </c>
      <c r="C31" t="s">
        <v>33</v>
      </c>
      <c r="D31" t="s">
        <v>78</v>
      </c>
      <c r="E31" t="s">
        <v>178</v>
      </c>
      <c r="F31" t="s">
        <v>273</v>
      </c>
      <c r="J31" t="str">
        <f t="shared" si="0"/>
        <v>OK</v>
      </c>
      <c r="K31" s="6" t="str">
        <f t="shared" si="1"/>
        <v>OK</v>
      </c>
      <c r="L31" t="str">
        <f t="shared" si="2"/>
        <v>OK</v>
      </c>
    </row>
    <row r="32" spans="1:12">
      <c r="A32">
        <v>31</v>
      </c>
      <c r="B32" t="s">
        <v>25</v>
      </c>
      <c r="C32" t="s">
        <v>33</v>
      </c>
      <c r="D32" t="s">
        <v>79</v>
      </c>
      <c r="E32" t="s">
        <v>179</v>
      </c>
      <c r="F32" t="s">
        <v>274</v>
      </c>
      <c r="J32" t="str">
        <f t="shared" si="0"/>
        <v>OK</v>
      </c>
      <c r="K32" s="6" t="str">
        <f t="shared" si="1"/>
        <v>OK</v>
      </c>
      <c r="L32" t="str">
        <f t="shared" si="2"/>
        <v>OK</v>
      </c>
    </row>
    <row r="33" spans="1:12">
      <c r="A33">
        <v>32</v>
      </c>
      <c r="B33" t="s">
        <v>21</v>
      </c>
      <c r="C33" t="s">
        <v>37</v>
      </c>
      <c r="D33" t="s">
        <v>80</v>
      </c>
      <c r="E33" t="s">
        <v>180</v>
      </c>
      <c r="F33" t="s">
        <v>275</v>
      </c>
      <c r="J33" t="str">
        <f t="shared" si="0"/>
        <v>OK</v>
      </c>
      <c r="K33" s="6" t="str">
        <f t="shared" si="1"/>
        <v>OK</v>
      </c>
      <c r="L33" t="str">
        <f t="shared" si="2"/>
        <v>OK</v>
      </c>
    </row>
    <row r="34" spans="1:12">
      <c r="A34">
        <v>33</v>
      </c>
      <c r="B34" t="s">
        <v>24</v>
      </c>
      <c r="C34" t="s">
        <v>37</v>
      </c>
      <c r="D34" t="s">
        <v>81</v>
      </c>
      <c r="E34" t="s">
        <v>181</v>
      </c>
      <c r="F34" t="s">
        <v>276</v>
      </c>
      <c r="J34" t="str">
        <f t="shared" si="0"/>
        <v>OK</v>
      </c>
      <c r="K34" s="6" t="str">
        <f t="shared" si="1"/>
        <v>OK</v>
      </c>
      <c r="L34" t="str">
        <f t="shared" si="2"/>
        <v>OK</v>
      </c>
    </row>
    <row r="35" spans="1:12">
      <c r="A35">
        <v>34</v>
      </c>
      <c r="B35" t="s">
        <v>29</v>
      </c>
      <c r="C35" t="s">
        <v>36</v>
      </c>
      <c r="D35" t="s">
        <v>82</v>
      </c>
      <c r="E35" t="s">
        <v>182</v>
      </c>
      <c r="F35" t="s">
        <v>277</v>
      </c>
      <c r="J35" t="str">
        <f t="shared" si="0"/>
        <v>OK</v>
      </c>
      <c r="K35" s="6" t="str">
        <f t="shared" si="1"/>
        <v>OK</v>
      </c>
      <c r="L35" t="str">
        <f t="shared" si="2"/>
        <v>OK</v>
      </c>
    </row>
    <row r="36" spans="1:12">
      <c r="A36">
        <v>35</v>
      </c>
      <c r="B36" t="s">
        <v>21</v>
      </c>
      <c r="C36" t="s">
        <v>47</v>
      </c>
      <c r="D36" t="s">
        <v>83</v>
      </c>
      <c r="E36" t="s">
        <v>183</v>
      </c>
      <c r="F36" t="s">
        <v>278</v>
      </c>
      <c r="J36" t="str">
        <f t="shared" si="0"/>
        <v>OK</v>
      </c>
      <c r="K36" s="6" t="str">
        <f t="shared" si="1"/>
        <v>OK</v>
      </c>
      <c r="L36" t="str">
        <f t="shared" si="2"/>
        <v>OK</v>
      </c>
    </row>
    <row r="37" spans="1:12">
      <c r="A37">
        <v>36</v>
      </c>
      <c r="B37" t="s">
        <v>26</v>
      </c>
      <c r="C37" t="s">
        <v>35</v>
      </c>
      <c r="D37" t="s">
        <v>84</v>
      </c>
      <c r="E37" t="s">
        <v>184</v>
      </c>
      <c r="F37" t="s">
        <v>279</v>
      </c>
      <c r="J37" t="str">
        <f t="shared" si="0"/>
        <v>OK</v>
      </c>
      <c r="K37" s="6" t="str">
        <f t="shared" si="1"/>
        <v>OK</v>
      </c>
      <c r="L37" t="str">
        <f t="shared" si="2"/>
        <v>OK</v>
      </c>
    </row>
    <row r="38" spans="1:12">
      <c r="A38">
        <v>37</v>
      </c>
      <c r="B38" t="s">
        <v>21</v>
      </c>
      <c r="C38" t="s">
        <v>43</v>
      </c>
      <c r="D38" t="s">
        <v>85</v>
      </c>
      <c r="E38" t="s">
        <v>185</v>
      </c>
      <c r="F38" t="s">
        <v>280</v>
      </c>
      <c r="J38" t="str">
        <f t="shared" si="0"/>
        <v>OK</v>
      </c>
      <c r="K38" s="6" t="str">
        <f t="shared" si="1"/>
        <v>OK</v>
      </c>
      <c r="L38" t="str">
        <f t="shared" si="2"/>
        <v>OK</v>
      </c>
    </row>
    <row r="39" spans="1:12">
      <c r="A39">
        <v>38</v>
      </c>
      <c r="B39" t="s">
        <v>21</v>
      </c>
      <c r="C39" t="s">
        <v>43</v>
      </c>
      <c r="D39" t="s">
        <v>86</v>
      </c>
      <c r="E39" t="s">
        <v>186</v>
      </c>
      <c r="F39" t="s">
        <v>281</v>
      </c>
      <c r="J39" t="str">
        <f t="shared" si="0"/>
        <v>OK</v>
      </c>
      <c r="K39" s="6" t="str">
        <f t="shared" si="1"/>
        <v>OK</v>
      </c>
      <c r="L39" t="str">
        <f t="shared" si="2"/>
        <v>OK</v>
      </c>
    </row>
    <row r="40" spans="1:12">
      <c r="A40">
        <v>39</v>
      </c>
      <c r="B40" t="s">
        <v>26</v>
      </c>
      <c r="C40" t="s">
        <v>38</v>
      </c>
      <c r="D40" t="s">
        <v>87</v>
      </c>
      <c r="E40" t="s">
        <v>187</v>
      </c>
      <c r="F40" t="s">
        <v>282</v>
      </c>
      <c r="J40" t="str">
        <f t="shared" si="0"/>
        <v>OK</v>
      </c>
      <c r="K40" s="6" t="str">
        <f t="shared" si="1"/>
        <v>OK</v>
      </c>
      <c r="L40" t="str">
        <f t="shared" si="2"/>
        <v>OK</v>
      </c>
    </row>
    <row r="41" spans="1:12">
      <c r="A41">
        <v>40</v>
      </c>
      <c r="B41" t="s">
        <v>28</v>
      </c>
      <c r="C41" t="s">
        <v>38</v>
      </c>
      <c r="D41" t="s">
        <v>88</v>
      </c>
      <c r="E41" t="s">
        <v>188</v>
      </c>
      <c r="F41" t="s">
        <v>283</v>
      </c>
      <c r="J41" t="str">
        <f t="shared" si="0"/>
        <v>OK</v>
      </c>
      <c r="K41" s="6" t="str">
        <f t="shared" si="1"/>
        <v>OK</v>
      </c>
      <c r="L41" t="str">
        <f t="shared" si="2"/>
        <v>OK</v>
      </c>
    </row>
    <row r="42" spans="1:12">
      <c r="A42">
        <v>41</v>
      </c>
      <c r="B42" t="s">
        <v>23</v>
      </c>
      <c r="C42" t="s">
        <v>38</v>
      </c>
      <c r="D42" t="s">
        <v>89</v>
      </c>
      <c r="E42" t="s">
        <v>189</v>
      </c>
      <c r="F42" t="s">
        <v>284</v>
      </c>
      <c r="J42" t="str">
        <f t="shared" si="0"/>
        <v>OK</v>
      </c>
      <c r="K42" s="6" t="str">
        <f t="shared" si="1"/>
        <v>OK</v>
      </c>
      <c r="L42" t="str">
        <f t="shared" si="2"/>
        <v>OK</v>
      </c>
    </row>
    <row r="43" spans="1:12">
      <c r="A43">
        <v>42</v>
      </c>
      <c r="B43" t="s">
        <v>29</v>
      </c>
      <c r="C43" t="s">
        <v>47</v>
      </c>
      <c r="D43" t="s">
        <v>90</v>
      </c>
      <c r="E43" t="s">
        <v>190</v>
      </c>
      <c r="F43" t="s">
        <v>285</v>
      </c>
      <c r="J43" t="str">
        <f t="shared" si="0"/>
        <v>OK</v>
      </c>
      <c r="K43" s="6" t="str">
        <f t="shared" si="1"/>
        <v>OK</v>
      </c>
      <c r="L43" t="str">
        <f t="shared" si="2"/>
        <v>OK</v>
      </c>
    </row>
    <row r="44" spans="1:12">
      <c r="A44">
        <v>43</v>
      </c>
      <c r="B44" t="s">
        <v>24</v>
      </c>
      <c r="C44" t="s">
        <v>36</v>
      </c>
      <c r="D44" t="s">
        <v>91</v>
      </c>
      <c r="E44" t="s">
        <v>191</v>
      </c>
      <c r="F44" t="s">
        <v>286</v>
      </c>
      <c r="J44" t="str">
        <f t="shared" si="0"/>
        <v>OK</v>
      </c>
      <c r="K44" s="6" t="str">
        <f t="shared" si="1"/>
        <v>OK</v>
      </c>
      <c r="L44" t="str">
        <f t="shared" si="2"/>
        <v>OK</v>
      </c>
    </row>
    <row r="45" spans="1:12">
      <c r="A45">
        <v>44</v>
      </c>
      <c r="B45" t="s">
        <v>26</v>
      </c>
      <c r="C45" t="s">
        <v>38</v>
      </c>
      <c r="D45" t="s">
        <v>92</v>
      </c>
      <c r="E45" t="s">
        <v>192</v>
      </c>
      <c r="F45" t="s">
        <v>287</v>
      </c>
      <c r="J45" t="str">
        <f t="shared" si="0"/>
        <v>OK</v>
      </c>
      <c r="K45" s="6" t="str">
        <f t="shared" si="1"/>
        <v>OK</v>
      </c>
      <c r="L45" t="str">
        <f t="shared" si="2"/>
        <v>OK</v>
      </c>
    </row>
    <row r="46" spans="1:12">
      <c r="A46">
        <v>45</v>
      </c>
      <c r="B46" t="s">
        <v>27</v>
      </c>
      <c r="C46" t="s">
        <v>33</v>
      </c>
      <c r="D46" t="s">
        <v>93</v>
      </c>
      <c r="E46" t="s">
        <v>193</v>
      </c>
      <c r="F46" t="s">
        <v>288</v>
      </c>
      <c r="J46" t="str">
        <f t="shared" si="0"/>
        <v>OK</v>
      </c>
      <c r="K46" s="6" t="str">
        <f t="shared" si="1"/>
        <v>OK</v>
      </c>
      <c r="L46" t="str">
        <f t="shared" si="2"/>
        <v>OK</v>
      </c>
    </row>
    <row r="47" spans="1:12">
      <c r="A47">
        <v>46</v>
      </c>
      <c r="B47" t="s">
        <v>30</v>
      </c>
      <c r="C47" t="s">
        <v>43</v>
      </c>
      <c r="D47" t="s">
        <v>94</v>
      </c>
      <c r="E47" t="s">
        <v>194</v>
      </c>
      <c r="F47" t="s">
        <v>289</v>
      </c>
      <c r="J47" t="str">
        <f t="shared" si="0"/>
        <v>OK</v>
      </c>
      <c r="K47" s="6" t="str">
        <f t="shared" si="1"/>
        <v>OK</v>
      </c>
      <c r="L47" t="str">
        <f t="shared" si="2"/>
        <v>OK</v>
      </c>
    </row>
    <row r="48" spans="1:12">
      <c r="A48">
        <v>47</v>
      </c>
      <c r="B48" t="s">
        <v>23</v>
      </c>
      <c r="C48" t="s">
        <v>38</v>
      </c>
      <c r="D48" t="s">
        <v>95</v>
      </c>
      <c r="E48" t="s">
        <v>195</v>
      </c>
      <c r="F48" t="s">
        <v>290</v>
      </c>
      <c r="J48" t="str">
        <f t="shared" si="0"/>
        <v>OK</v>
      </c>
      <c r="K48" s="6" t="str">
        <f t="shared" si="1"/>
        <v>OK</v>
      </c>
      <c r="L48" t="str">
        <f t="shared" si="2"/>
        <v>OK</v>
      </c>
    </row>
    <row r="49" spans="1:12">
      <c r="A49">
        <v>48</v>
      </c>
      <c r="B49" t="s">
        <v>24</v>
      </c>
      <c r="C49" t="s">
        <v>36</v>
      </c>
      <c r="D49" t="s">
        <v>96</v>
      </c>
      <c r="E49" t="s">
        <v>196</v>
      </c>
      <c r="F49" t="s">
        <v>291</v>
      </c>
      <c r="J49" t="str">
        <f t="shared" si="0"/>
        <v>OK</v>
      </c>
      <c r="K49" s="6" t="str">
        <f t="shared" si="1"/>
        <v>OK</v>
      </c>
      <c r="L49" t="str">
        <f t="shared" si="2"/>
        <v>OK</v>
      </c>
    </row>
    <row r="50" spans="1:12">
      <c r="A50">
        <v>49</v>
      </c>
      <c r="B50" t="s">
        <v>27</v>
      </c>
      <c r="C50" t="s">
        <v>47</v>
      </c>
      <c r="D50" t="s">
        <v>97</v>
      </c>
      <c r="E50" t="s">
        <v>197</v>
      </c>
      <c r="F50" t="s">
        <v>292</v>
      </c>
      <c r="J50" t="str">
        <f t="shared" si="0"/>
        <v>OK</v>
      </c>
      <c r="K50" s="6" t="str">
        <f t="shared" si="1"/>
        <v>OK</v>
      </c>
      <c r="L50" t="str">
        <f t="shared" si="2"/>
        <v>OK</v>
      </c>
    </row>
    <row r="51" spans="1:12">
      <c r="A51">
        <v>50</v>
      </c>
      <c r="B51" t="s">
        <v>27</v>
      </c>
      <c r="C51" t="s">
        <v>48</v>
      </c>
      <c r="D51" t="s">
        <v>98</v>
      </c>
      <c r="E51" t="s">
        <v>198</v>
      </c>
      <c r="F51" t="s">
        <v>293</v>
      </c>
      <c r="J51" t="str">
        <f t="shared" si="0"/>
        <v>OK</v>
      </c>
      <c r="K51" s="6" t="str">
        <f t="shared" si="1"/>
        <v>OK</v>
      </c>
      <c r="L51" t="str">
        <f t="shared" si="2"/>
        <v>OK</v>
      </c>
    </row>
    <row r="52" spans="1:12">
      <c r="A52">
        <v>51</v>
      </c>
      <c r="B52" t="s">
        <v>26</v>
      </c>
      <c r="C52" t="s">
        <v>32</v>
      </c>
      <c r="D52" t="s">
        <v>99</v>
      </c>
      <c r="E52" t="s">
        <v>199</v>
      </c>
      <c r="F52" t="s">
        <v>294</v>
      </c>
      <c r="J52" t="str">
        <f t="shared" si="0"/>
        <v>OK</v>
      </c>
      <c r="K52" s="6" t="str">
        <f t="shared" si="1"/>
        <v>OK</v>
      </c>
      <c r="L52" t="str">
        <f t="shared" si="2"/>
        <v>OK</v>
      </c>
    </row>
    <row r="53" spans="1:12">
      <c r="A53">
        <v>52</v>
      </c>
      <c r="B53" t="s">
        <v>27</v>
      </c>
      <c r="C53" t="s">
        <v>46</v>
      </c>
      <c r="D53" t="s">
        <v>100</v>
      </c>
      <c r="E53" t="s">
        <v>200</v>
      </c>
      <c r="F53" t="s">
        <v>295</v>
      </c>
      <c r="J53" t="str">
        <f t="shared" si="0"/>
        <v>OK</v>
      </c>
      <c r="K53" s="6" t="str">
        <f t="shared" si="1"/>
        <v>OK</v>
      </c>
      <c r="L53" t="str">
        <f t="shared" si="2"/>
        <v>OK</v>
      </c>
    </row>
    <row r="54" spans="1:12">
      <c r="A54">
        <v>53</v>
      </c>
      <c r="B54" t="s">
        <v>24</v>
      </c>
      <c r="C54" t="s">
        <v>48</v>
      </c>
      <c r="D54" t="s">
        <v>101</v>
      </c>
      <c r="E54" t="s">
        <v>201</v>
      </c>
      <c r="F54" t="s">
        <v>296</v>
      </c>
      <c r="J54" t="str">
        <f t="shared" si="0"/>
        <v>OK</v>
      </c>
      <c r="K54" s="6" t="str">
        <f t="shared" si="1"/>
        <v>OK</v>
      </c>
      <c r="L54" t="str">
        <f t="shared" si="2"/>
        <v>OK</v>
      </c>
    </row>
    <row r="55" spans="1:12">
      <c r="A55">
        <v>54</v>
      </c>
      <c r="B55" t="s">
        <v>22</v>
      </c>
      <c r="C55" t="s">
        <v>43</v>
      </c>
      <c r="D55" t="s">
        <v>102</v>
      </c>
      <c r="E55" t="s">
        <v>202</v>
      </c>
      <c r="F55" t="s">
        <v>297</v>
      </c>
      <c r="J55" t="str">
        <f t="shared" si="0"/>
        <v>OK</v>
      </c>
      <c r="K55" s="6" t="str">
        <f t="shared" si="1"/>
        <v>OK</v>
      </c>
      <c r="L55" t="str">
        <f t="shared" si="2"/>
        <v>OK</v>
      </c>
    </row>
    <row r="56" spans="1:12">
      <c r="A56">
        <v>55</v>
      </c>
      <c r="B56" t="s">
        <v>21</v>
      </c>
      <c r="C56" t="s">
        <v>38</v>
      </c>
      <c r="D56" t="s">
        <v>103</v>
      </c>
      <c r="E56" t="s">
        <v>203</v>
      </c>
      <c r="F56" t="s">
        <v>298</v>
      </c>
      <c r="J56" t="str">
        <f t="shared" si="0"/>
        <v>OK</v>
      </c>
      <c r="K56" s="6" t="str">
        <f t="shared" si="1"/>
        <v>OK</v>
      </c>
      <c r="L56" t="str">
        <f t="shared" si="2"/>
        <v>OK</v>
      </c>
    </row>
    <row r="57" spans="1:12">
      <c r="A57">
        <v>56</v>
      </c>
      <c r="B57" t="s">
        <v>23</v>
      </c>
      <c r="C57" t="s">
        <v>37</v>
      </c>
      <c r="D57" t="s">
        <v>104</v>
      </c>
      <c r="E57" t="s">
        <v>204</v>
      </c>
      <c r="F57" t="s">
        <v>299</v>
      </c>
      <c r="J57" t="str">
        <f t="shared" si="0"/>
        <v>OK</v>
      </c>
      <c r="K57" s="6" t="str">
        <f t="shared" si="1"/>
        <v>OK</v>
      </c>
      <c r="L57" t="str">
        <f t="shared" si="2"/>
        <v>OK</v>
      </c>
    </row>
    <row r="58" spans="1:12">
      <c r="A58">
        <v>57</v>
      </c>
      <c r="B58" t="s">
        <v>21</v>
      </c>
      <c r="C58" t="s">
        <v>37</v>
      </c>
      <c r="D58" t="s">
        <v>105</v>
      </c>
      <c r="E58" t="s">
        <v>205</v>
      </c>
      <c r="F58" t="s">
        <v>300</v>
      </c>
      <c r="J58" t="str">
        <f t="shared" si="0"/>
        <v>OK</v>
      </c>
      <c r="K58" s="6" t="str">
        <f t="shared" si="1"/>
        <v>OK</v>
      </c>
      <c r="L58" t="str">
        <f t="shared" si="2"/>
        <v>OK</v>
      </c>
    </row>
    <row r="59" spans="1:12">
      <c r="A59">
        <v>58</v>
      </c>
      <c r="B59" t="s">
        <v>26</v>
      </c>
      <c r="C59" t="s">
        <v>36</v>
      </c>
      <c r="D59" t="s">
        <v>106</v>
      </c>
      <c r="E59" t="s">
        <v>206</v>
      </c>
      <c r="F59" t="s">
        <v>301</v>
      </c>
      <c r="J59" t="str">
        <f t="shared" si="0"/>
        <v>OK</v>
      </c>
      <c r="K59" s="6" t="str">
        <f t="shared" si="1"/>
        <v>OK</v>
      </c>
      <c r="L59" t="str">
        <f t="shared" si="2"/>
        <v>OK</v>
      </c>
    </row>
    <row r="60" spans="1:12">
      <c r="A60">
        <v>59</v>
      </c>
      <c r="B60" t="s">
        <v>29</v>
      </c>
      <c r="C60" t="s">
        <v>48</v>
      </c>
      <c r="D60" t="s">
        <v>107</v>
      </c>
      <c r="E60" t="s">
        <v>207</v>
      </c>
      <c r="F60" t="s">
        <v>302</v>
      </c>
      <c r="J60" t="str">
        <f t="shared" si="0"/>
        <v>OK</v>
      </c>
      <c r="K60" s="6" t="str">
        <f t="shared" si="1"/>
        <v>OK</v>
      </c>
      <c r="L60" t="str">
        <f t="shared" si="2"/>
        <v>OK</v>
      </c>
    </row>
    <row r="61" spans="1:12">
      <c r="A61">
        <v>60</v>
      </c>
      <c r="B61" t="s">
        <v>26</v>
      </c>
      <c r="C61" t="s">
        <v>35</v>
      </c>
      <c r="D61" t="s">
        <v>108</v>
      </c>
      <c r="E61" t="s">
        <v>197</v>
      </c>
      <c r="F61" t="s">
        <v>303</v>
      </c>
      <c r="J61" t="str">
        <f t="shared" si="0"/>
        <v>OK</v>
      </c>
      <c r="K61" s="6" t="str">
        <f t="shared" si="1"/>
        <v>OK</v>
      </c>
      <c r="L61" t="str">
        <f t="shared" si="2"/>
        <v>OK</v>
      </c>
    </row>
    <row r="62" spans="1:12">
      <c r="A62">
        <v>61</v>
      </c>
      <c r="B62" t="s">
        <v>29</v>
      </c>
      <c r="C62" t="s">
        <v>38</v>
      </c>
      <c r="D62" t="s">
        <v>109</v>
      </c>
      <c r="E62" t="s">
        <v>208</v>
      </c>
      <c r="F62" t="s">
        <v>304</v>
      </c>
      <c r="J62" t="str">
        <f t="shared" si="0"/>
        <v>OK</v>
      </c>
      <c r="K62" s="6" t="str">
        <f t="shared" si="1"/>
        <v>OK</v>
      </c>
      <c r="L62" t="str">
        <f t="shared" si="2"/>
        <v>OK</v>
      </c>
    </row>
    <row r="63" spans="1:12">
      <c r="A63">
        <v>62</v>
      </c>
      <c r="B63" t="s">
        <v>23</v>
      </c>
      <c r="C63" t="s">
        <v>46</v>
      </c>
      <c r="D63" t="s">
        <v>110</v>
      </c>
      <c r="E63" t="s">
        <v>209</v>
      </c>
      <c r="F63" t="s">
        <v>305</v>
      </c>
      <c r="J63" t="str">
        <f t="shared" si="0"/>
        <v>OK</v>
      </c>
      <c r="K63" s="6" t="str">
        <f t="shared" si="1"/>
        <v>OK</v>
      </c>
      <c r="L63" t="str">
        <f t="shared" si="2"/>
        <v>OK</v>
      </c>
    </row>
    <row r="64" spans="1:12">
      <c r="A64">
        <v>63</v>
      </c>
      <c r="B64" t="s">
        <v>24</v>
      </c>
      <c r="C64" t="s">
        <v>35</v>
      </c>
      <c r="D64" t="s">
        <v>111</v>
      </c>
      <c r="E64" t="s">
        <v>210</v>
      </c>
      <c r="F64" t="s">
        <v>306</v>
      </c>
      <c r="J64" t="str">
        <f t="shared" si="0"/>
        <v>OK</v>
      </c>
      <c r="K64" s="6" t="str">
        <f t="shared" si="1"/>
        <v>OK</v>
      </c>
      <c r="L64" t="str">
        <f t="shared" si="2"/>
        <v>OK</v>
      </c>
    </row>
    <row r="65" spans="1:12">
      <c r="A65">
        <v>64</v>
      </c>
      <c r="B65" t="s">
        <v>23</v>
      </c>
      <c r="C65" t="s">
        <v>37</v>
      </c>
      <c r="D65" t="s">
        <v>112</v>
      </c>
      <c r="E65" t="s">
        <v>211</v>
      </c>
      <c r="F65" t="s">
        <v>307</v>
      </c>
      <c r="J65" t="str">
        <f t="shared" si="0"/>
        <v>OK</v>
      </c>
      <c r="K65" s="6" t="str">
        <f t="shared" si="1"/>
        <v>OK</v>
      </c>
      <c r="L65" t="str">
        <f t="shared" si="2"/>
        <v>OK</v>
      </c>
    </row>
    <row r="66" spans="1:12">
      <c r="A66">
        <v>65</v>
      </c>
      <c r="B66" t="s">
        <v>30</v>
      </c>
      <c r="C66" t="s">
        <v>47</v>
      </c>
      <c r="D66" t="s">
        <v>113</v>
      </c>
      <c r="E66" t="s">
        <v>212</v>
      </c>
      <c r="F66" t="s">
        <v>308</v>
      </c>
      <c r="J66" t="str">
        <f t="shared" si="0"/>
        <v>OK</v>
      </c>
      <c r="K66" s="6" t="str">
        <f t="shared" si="1"/>
        <v>OK</v>
      </c>
      <c r="L66" t="str">
        <f t="shared" si="2"/>
        <v>OK</v>
      </c>
    </row>
    <row r="67" spans="1:12">
      <c r="A67">
        <v>66</v>
      </c>
      <c r="B67" t="s">
        <v>26</v>
      </c>
      <c r="C67" t="s">
        <v>35</v>
      </c>
      <c r="D67" t="s">
        <v>114</v>
      </c>
      <c r="E67" t="s">
        <v>213</v>
      </c>
      <c r="F67" t="s">
        <v>309</v>
      </c>
      <c r="J67" t="str">
        <f t="shared" ref="J67:J101" si="3">IF(ISBLANK(F67),"Lipsă","OK")</f>
        <v>OK</v>
      </c>
      <c r="K67" s="6" t="str">
        <f t="shared" ref="K67:K101" si="4">IF(LEN(D67)=13,"OK","Invalid")</f>
        <v>OK</v>
      </c>
      <c r="L67" t="str">
        <f t="shared" ref="L67:L101" si="5">IF(LEN(F67)=10,"OK","Invalid")</f>
        <v>OK</v>
      </c>
    </row>
    <row r="68" spans="1:12">
      <c r="A68">
        <v>67</v>
      </c>
      <c r="B68" t="s">
        <v>29</v>
      </c>
      <c r="C68" t="s">
        <v>46</v>
      </c>
      <c r="D68" t="s">
        <v>115</v>
      </c>
      <c r="E68" t="s">
        <v>214</v>
      </c>
      <c r="F68" t="s">
        <v>310</v>
      </c>
      <c r="J68" t="str">
        <f t="shared" si="3"/>
        <v>OK</v>
      </c>
      <c r="K68" s="6" t="str">
        <f t="shared" si="4"/>
        <v>OK</v>
      </c>
      <c r="L68" t="str">
        <f t="shared" si="5"/>
        <v>OK</v>
      </c>
    </row>
    <row r="69" spans="1:12">
      <c r="A69">
        <v>68</v>
      </c>
      <c r="B69" t="s">
        <v>26</v>
      </c>
      <c r="C69" t="s">
        <v>37</v>
      </c>
      <c r="D69" t="s">
        <v>116</v>
      </c>
      <c r="E69" t="s">
        <v>215</v>
      </c>
      <c r="F69" t="s">
        <v>311</v>
      </c>
      <c r="J69" t="str">
        <f t="shared" si="3"/>
        <v>OK</v>
      </c>
      <c r="K69" s="6" t="str">
        <f t="shared" si="4"/>
        <v>OK</v>
      </c>
      <c r="L69" t="str">
        <f t="shared" si="5"/>
        <v>OK</v>
      </c>
    </row>
    <row r="70" spans="1:12">
      <c r="A70">
        <v>69</v>
      </c>
      <c r="B70" t="s">
        <v>26</v>
      </c>
      <c r="C70" t="s">
        <v>47</v>
      </c>
      <c r="D70" t="s">
        <v>117</v>
      </c>
      <c r="E70" t="s">
        <v>216</v>
      </c>
      <c r="F70" t="s">
        <v>312</v>
      </c>
      <c r="J70" t="str">
        <f t="shared" si="3"/>
        <v>OK</v>
      </c>
      <c r="K70" s="6" t="str">
        <f t="shared" si="4"/>
        <v>OK</v>
      </c>
      <c r="L70" t="str">
        <f t="shared" si="5"/>
        <v>OK</v>
      </c>
    </row>
    <row r="71" spans="1:12">
      <c r="A71">
        <v>70</v>
      </c>
      <c r="B71" t="s">
        <v>24</v>
      </c>
      <c r="C71" t="s">
        <v>46</v>
      </c>
      <c r="D71" t="s">
        <v>118</v>
      </c>
      <c r="E71" t="s">
        <v>217</v>
      </c>
      <c r="F71" t="s">
        <v>313</v>
      </c>
      <c r="J71" t="str">
        <f t="shared" si="3"/>
        <v>OK</v>
      </c>
      <c r="K71" s="6" t="str">
        <f t="shared" si="4"/>
        <v>OK</v>
      </c>
      <c r="L71" t="str">
        <f t="shared" si="5"/>
        <v>OK</v>
      </c>
    </row>
    <row r="72" spans="1:12">
      <c r="A72">
        <v>71</v>
      </c>
      <c r="B72" t="s">
        <v>25</v>
      </c>
      <c r="C72" t="s">
        <v>35</v>
      </c>
      <c r="D72" t="s">
        <v>119</v>
      </c>
      <c r="E72" t="s">
        <v>218</v>
      </c>
      <c r="F72" t="s">
        <v>314</v>
      </c>
      <c r="J72" t="str">
        <f t="shared" si="3"/>
        <v>OK</v>
      </c>
      <c r="K72" s="6" t="str">
        <f t="shared" si="4"/>
        <v>OK</v>
      </c>
      <c r="L72" t="str">
        <f t="shared" si="5"/>
        <v>OK</v>
      </c>
    </row>
    <row r="73" spans="1:12">
      <c r="A73">
        <v>72</v>
      </c>
      <c r="B73" t="s">
        <v>27</v>
      </c>
      <c r="C73" t="s">
        <v>37</v>
      </c>
      <c r="D73" t="s">
        <v>120</v>
      </c>
      <c r="E73" t="s">
        <v>219</v>
      </c>
      <c r="F73" t="s">
        <v>315</v>
      </c>
      <c r="J73" t="str">
        <f t="shared" si="3"/>
        <v>OK</v>
      </c>
      <c r="K73" s="6" t="str">
        <f t="shared" si="4"/>
        <v>OK</v>
      </c>
      <c r="L73" t="str">
        <f t="shared" si="5"/>
        <v>OK</v>
      </c>
    </row>
    <row r="74" spans="1:12">
      <c r="A74">
        <v>73</v>
      </c>
      <c r="B74" t="s">
        <v>30</v>
      </c>
      <c r="C74" t="s">
        <v>43</v>
      </c>
      <c r="D74" t="s">
        <v>121</v>
      </c>
      <c r="E74" t="s">
        <v>220</v>
      </c>
      <c r="F74" t="s">
        <v>316</v>
      </c>
      <c r="J74" t="str">
        <f t="shared" si="3"/>
        <v>OK</v>
      </c>
      <c r="K74" s="6" t="str">
        <f t="shared" si="4"/>
        <v>OK</v>
      </c>
      <c r="L74" t="str">
        <f t="shared" si="5"/>
        <v>OK</v>
      </c>
    </row>
    <row r="75" spans="1:12">
      <c r="A75">
        <v>74</v>
      </c>
      <c r="B75" t="s">
        <v>27</v>
      </c>
      <c r="C75" t="s">
        <v>47</v>
      </c>
      <c r="D75" t="s">
        <v>122</v>
      </c>
      <c r="E75" t="s">
        <v>221</v>
      </c>
      <c r="F75" t="s">
        <v>317</v>
      </c>
      <c r="J75" t="str">
        <f t="shared" si="3"/>
        <v>OK</v>
      </c>
      <c r="K75" s="6" t="str">
        <f t="shared" si="4"/>
        <v>OK</v>
      </c>
      <c r="L75" t="str">
        <f t="shared" si="5"/>
        <v>OK</v>
      </c>
    </row>
    <row r="76" spans="1:12">
      <c r="A76">
        <v>75</v>
      </c>
      <c r="B76" t="s">
        <v>21</v>
      </c>
      <c r="C76" t="s">
        <v>33</v>
      </c>
      <c r="D76" t="s">
        <v>123</v>
      </c>
      <c r="E76" t="s">
        <v>222</v>
      </c>
      <c r="F76" t="s">
        <v>318</v>
      </c>
      <c r="J76" t="str">
        <f t="shared" si="3"/>
        <v>OK</v>
      </c>
      <c r="K76" s="6" t="str">
        <f t="shared" si="4"/>
        <v>OK</v>
      </c>
      <c r="L76" t="str">
        <f t="shared" si="5"/>
        <v>OK</v>
      </c>
    </row>
    <row r="77" spans="1:12">
      <c r="A77">
        <v>76</v>
      </c>
      <c r="B77" t="s">
        <v>23</v>
      </c>
      <c r="C77" t="s">
        <v>43</v>
      </c>
      <c r="D77" t="s">
        <v>124</v>
      </c>
      <c r="E77" t="s">
        <v>223</v>
      </c>
      <c r="F77" t="s">
        <v>319</v>
      </c>
      <c r="J77" t="str">
        <f t="shared" si="3"/>
        <v>OK</v>
      </c>
      <c r="K77" s="6" t="str">
        <f t="shared" si="4"/>
        <v>OK</v>
      </c>
      <c r="L77" t="str">
        <f t="shared" si="5"/>
        <v>OK</v>
      </c>
    </row>
    <row r="78" spans="1:12">
      <c r="A78">
        <v>77</v>
      </c>
      <c r="B78" t="s">
        <v>22</v>
      </c>
      <c r="C78" t="s">
        <v>33</v>
      </c>
      <c r="D78" t="s">
        <v>125</v>
      </c>
      <c r="E78" t="s">
        <v>224</v>
      </c>
      <c r="F78" t="s">
        <v>320</v>
      </c>
      <c r="J78" t="str">
        <f t="shared" si="3"/>
        <v>OK</v>
      </c>
      <c r="K78" s="6" t="str">
        <f t="shared" si="4"/>
        <v>OK</v>
      </c>
      <c r="L78" t="str">
        <f t="shared" si="5"/>
        <v>OK</v>
      </c>
    </row>
    <row r="79" spans="1:12">
      <c r="A79">
        <v>78</v>
      </c>
      <c r="B79" t="s">
        <v>22</v>
      </c>
      <c r="C79" t="s">
        <v>36</v>
      </c>
      <c r="D79" t="s">
        <v>126</v>
      </c>
      <c r="E79" t="s">
        <v>225</v>
      </c>
      <c r="F79" t="s">
        <v>321</v>
      </c>
      <c r="J79" t="str">
        <f t="shared" si="3"/>
        <v>OK</v>
      </c>
      <c r="K79" s="6" t="str">
        <f t="shared" si="4"/>
        <v>OK</v>
      </c>
      <c r="L79" t="str">
        <f t="shared" si="5"/>
        <v>OK</v>
      </c>
    </row>
    <row r="80" spans="1:12">
      <c r="A80">
        <v>79</v>
      </c>
      <c r="B80" t="s">
        <v>29</v>
      </c>
      <c r="C80" t="s">
        <v>38</v>
      </c>
      <c r="D80" t="s">
        <v>127</v>
      </c>
      <c r="E80" t="s">
        <v>226</v>
      </c>
      <c r="F80" t="s">
        <v>322</v>
      </c>
      <c r="J80" t="str">
        <f t="shared" si="3"/>
        <v>OK</v>
      </c>
      <c r="K80" s="6" t="str">
        <f t="shared" si="4"/>
        <v>OK</v>
      </c>
      <c r="L80" t="str">
        <f t="shared" si="5"/>
        <v>OK</v>
      </c>
    </row>
    <row r="81" spans="1:12">
      <c r="A81">
        <v>80</v>
      </c>
      <c r="B81" t="s">
        <v>23</v>
      </c>
      <c r="C81" t="s">
        <v>35</v>
      </c>
      <c r="D81" t="s">
        <v>128</v>
      </c>
      <c r="E81" t="s">
        <v>227</v>
      </c>
      <c r="F81" t="s">
        <v>323</v>
      </c>
      <c r="J81" t="str">
        <f t="shared" si="3"/>
        <v>OK</v>
      </c>
      <c r="K81" s="6" t="str">
        <f t="shared" si="4"/>
        <v>OK</v>
      </c>
      <c r="L81" t="str">
        <f t="shared" si="5"/>
        <v>OK</v>
      </c>
    </row>
    <row r="82" spans="1:12">
      <c r="A82">
        <v>81</v>
      </c>
      <c r="B82" t="s">
        <v>24</v>
      </c>
      <c r="C82" t="s">
        <v>48</v>
      </c>
      <c r="D82" t="s">
        <v>129</v>
      </c>
      <c r="E82" t="s">
        <v>228</v>
      </c>
      <c r="F82" t="s">
        <v>324</v>
      </c>
      <c r="J82" t="str">
        <f t="shared" si="3"/>
        <v>OK</v>
      </c>
      <c r="K82" s="6" t="str">
        <f t="shared" si="4"/>
        <v>OK</v>
      </c>
      <c r="L82" t="str">
        <f t="shared" si="5"/>
        <v>OK</v>
      </c>
    </row>
    <row r="83" spans="1:12">
      <c r="A83">
        <v>82</v>
      </c>
      <c r="B83" t="s">
        <v>23</v>
      </c>
      <c r="C83" t="s">
        <v>33</v>
      </c>
      <c r="D83" t="s">
        <v>130</v>
      </c>
      <c r="E83" t="s">
        <v>206</v>
      </c>
      <c r="F83" t="s">
        <v>325</v>
      </c>
      <c r="J83" t="str">
        <f t="shared" si="3"/>
        <v>OK</v>
      </c>
      <c r="K83" s="6" t="str">
        <f t="shared" si="4"/>
        <v>OK</v>
      </c>
      <c r="L83" t="str">
        <f t="shared" si="5"/>
        <v>OK</v>
      </c>
    </row>
    <row r="84" spans="1:12">
      <c r="A84">
        <v>83</v>
      </c>
      <c r="B84" t="s">
        <v>25</v>
      </c>
      <c r="C84" t="s">
        <v>47</v>
      </c>
      <c r="D84" t="s">
        <v>131</v>
      </c>
      <c r="E84" t="s">
        <v>201</v>
      </c>
      <c r="F84" t="s">
        <v>326</v>
      </c>
      <c r="J84" t="str">
        <f t="shared" si="3"/>
        <v>OK</v>
      </c>
      <c r="K84" s="6" t="str">
        <f t="shared" si="4"/>
        <v>OK</v>
      </c>
      <c r="L84" t="str">
        <f t="shared" si="5"/>
        <v>OK</v>
      </c>
    </row>
    <row r="85" spans="1:12">
      <c r="A85">
        <v>84</v>
      </c>
      <c r="B85" t="s">
        <v>27</v>
      </c>
      <c r="C85" t="s">
        <v>33</v>
      </c>
      <c r="D85" t="s">
        <v>132</v>
      </c>
      <c r="E85" t="s">
        <v>229</v>
      </c>
      <c r="F85" t="s">
        <v>327</v>
      </c>
      <c r="J85" t="str">
        <f t="shared" si="3"/>
        <v>OK</v>
      </c>
      <c r="K85" s="6" t="str">
        <f t="shared" si="4"/>
        <v>OK</v>
      </c>
      <c r="L85" t="str">
        <f t="shared" si="5"/>
        <v>OK</v>
      </c>
    </row>
    <row r="86" spans="1:12">
      <c r="A86">
        <v>85</v>
      </c>
      <c r="B86" t="s">
        <v>25</v>
      </c>
      <c r="C86" t="s">
        <v>47</v>
      </c>
      <c r="D86" t="s">
        <v>133</v>
      </c>
      <c r="E86" t="s">
        <v>223</v>
      </c>
      <c r="F86" t="s">
        <v>328</v>
      </c>
      <c r="J86" t="str">
        <f t="shared" si="3"/>
        <v>OK</v>
      </c>
      <c r="K86" s="6" t="str">
        <f t="shared" si="4"/>
        <v>OK</v>
      </c>
      <c r="L86" t="str">
        <f t="shared" si="5"/>
        <v>OK</v>
      </c>
    </row>
    <row r="87" spans="1:12">
      <c r="A87">
        <v>86</v>
      </c>
      <c r="B87" t="s">
        <v>25</v>
      </c>
      <c r="C87" t="s">
        <v>46</v>
      </c>
      <c r="D87" t="s">
        <v>134</v>
      </c>
      <c r="E87" t="s">
        <v>230</v>
      </c>
      <c r="F87" t="s">
        <v>329</v>
      </c>
      <c r="J87" t="str">
        <f t="shared" si="3"/>
        <v>OK</v>
      </c>
      <c r="K87" s="6" t="str">
        <f t="shared" si="4"/>
        <v>OK</v>
      </c>
      <c r="L87" t="str">
        <f t="shared" si="5"/>
        <v>OK</v>
      </c>
    </row>
    <row r="88" spans="1:12">
      <c r="A88">
        <v>87</v>
      </c>
      <c r="B88" t="s">
        <v>30</v>
      </c>
      <c r="C88" t="s">
        <v>32</v>
      </c>
      <c r="D88" t="s">
        <v>135</v>
      </c>
      <c r="E88" t="s">
        <v>231</v>
      </c>
      <c r="F88" t="s">
        <v>330</v>
      </c>
      <c r="J88" t="str">
        <f t="shared" si="3"/>
        <v>OK</v>
      </c>
      <c r="K88" s="6" t="str">
        <f t="shared" si="4"/>
        <v>OK</v>
      </c>
      <c r="L88" t="str">
        <f t="shared" si="5"/>
        <v>OK</v>
      </c>
    </row>
    <row r="89" spans="1:12">
      <c r="A89">
        <v>88</v>
      </c>
      <c r="B89" t="s">
        <v>29</v>
      </c>
      <c r="C89" t="s">
        <v>38</v>
      </c>
      <c r="D89" t="s">
        <v>136</v>
      </c>
      <c r="E89" t="s">
        <v>232</v>
      </c>
      <c r="F89" t="s">
        <v>331</v>
      </c>
      <c r="J89" t="str">
        <f t="shared" si="3"/>
        <v>OK</v>
      </c>
      <c r="K89" s="6" t="str">
        <f t="shared" si="4"/>
        <v>OK</v>
      </c>
      <c r="L89" t="str">
        <f t="shared" si="5"/>
        <v>OK</v>
      </c>
    </row>
    <row r="90" spans="1:12">
      <c r="A90">
        <v>89</v>
      </c>
      <c r="B90" t="s">
        <v>27</v>
      </c>
      <c r="C90" t="s">
        <v>38</v>
      </c>
      <c r="D90" t="s">
        <v>137</v>
      </c>
      <c r="E90" t="s">
        <v>233</v>
      </c>
      <c r="F90" t="s">
        <v>332</v>
      </c>
      <c r="J90" t="str">
        <f t="shared" si="3"/>
        <v>OK</v>
      </c>
      <c r="K90" s="6" t="str">
        <f t="shared" si="4"/>
        <v>OK</v>
      </c>
      <c r="L90" t="str">
        <f t="shared" si="5"/>
        <v>OK</v>
      </c>
    </row>
    <row r="91" spans="1:12">
      <c r="A91">
        <v>90</v>
      </c>
      <c r="B91" t="s">
        <v>30</v>
      </c>
      <c r="C91" t="s">
        <v>33</v>
      </c>
      <c r="D91" t="s">
        <v>138</v>
      </c>
      <c r="E91" t="s">
        <v>234</v>
      </c>
      <c r="F91" t="s">
        <v>333</v>
      </c>
      <c r="J91" t="str">
        <f t="shared" si="3"/>
        <v>OK</v>
      </c>
      <c r="K91" s="6" t="str">
        <f t="shared" si="4"/>
        <v>OK</v>
      </c>
      <c r="L91" t="str">
        <f t="shared" si="5"/>
        <v>OK</v>
      </c>
    </row>
    <row r="92" spans="1:12">
      <c r="A92">
        <v>91</v>
      </c>
      <c r="B92" t="s">
        <v>30</v>
      </c>
      <c r="C92" t="s">
        <v>35</v>
      </c>
      <c r="D92" t="s">
        <v>139</v>
      </c>
      <c r="E92" t="s">
        <v>235</v>
      </c>
      <c r="F92" t="s">
        <v>334</v>
      </c>
      <c r="J92" t="str">
        <f t="shared" si="3"/>
        <v>OK</v>
      </c>
      <c r="K92" s="6" t="str">
        <f t="shared" si="4"/>
        <v>OK</v>
      </c>
      <c r="L92" t="str">
        <f t="shared" si="5"/>
        <v>OK</v>
      </c>
    </row>
    <row r="93" spans="1:12">
      <c r="A93">
        <v>92</v>
      </c>
      <c r="B93" t="s">
        <v>29</v>
      </c>
      <c r="C93" t="s">
        <v>36</v>
      </c>
      <c r="D93" t="s">
        <v>140</v>
      </c>
      <c r="E93" t="s">
        <v>236</v>
      </c>
      <c r="F93" t="s">
        <v>335</v>
      </c>
      <c r="J93" t="str">
        <f t="shared" si="3"/>
        <v>OK</v>
      </c>
      <c r="K93" s="6" t="str">
        <f t="shared" si="4"/>
        <v>OK</v>
      </c>
      <c r="L93" t="str">
        <f t="shared" si="5"/>
        <v>OK</v>
      </c>
    </row>
    <row r="94" spans="1:12">
      <c r="A94">
        <v>93</v>
      </c>
      <c r="B94" t="s">
        <v>26</v>
      </c>
      <c r="C94" t="s">
        <v>48</v>
      </c>
      <c r="D94" t="s">
        <v>141</v>
      </c>
      <c r="E94" t="s">
        <v>237</v>
      </c>
      <c r="F94" t="s">
        <v>336</v>
      </c>
      <c r="J94" t="str">
        <f t="shared" si="3"/>
        <v>OK</v>
      </c>
      <c r="K94" s="6" t="str">
        <f t="shared" si="4"/>
        <v>OK</v>
      </c>
      <c r="L94" t="str">
        <f t="shared" si="5"/>
        <v>OK</v>
      </c>
    </row>
    <row r="95" spans="1:12">
      <c r="A95">
        <v>94</v>
      </c>
      <c r="B95" t="s">
        <v>24</v>
      </c>
      <c r="C95" t="s">
        <v>48</v>
      </c>
      <c r="D95" t="s">
        <v>142</v>
      </c>
      <c r="E95" t="s">
        <v>238</v>
      </c>
      <c r="F95" t="s">
        <v>337</v>
      </c>
      <c r="J95" t="str">
        <f t="shared" si="3"/>
        <v>OK</v>
      </c>
      <c r="K95" s="6" t="str">
        <f t="shared" si="4"/>
        <v>OK</v>
      </c>
      <c r="L95" t="str">
        <f t="shared" si="5"/>
        <v>OK</v>
      </c>
    </row>
    <row r="96" spans="1:12">
      <c r="A96">
        <v>95</v>
      </c>
      <c r="B96" t="s">
        <v>29</v>
      </c>
      <c r="C96" t="s">
        <v>46</v>
      </c>
      <c r="D96" t="s">
        <v>143</v>
      </c>
      <c r="E96" t="s">
        <v>239</v>
      </c>
      <c r="F96" t="s">
        <v>338</v>
      </c>
      <c r="J96" t="str">
        <f t="shared" si="3"/>
        <v>OK</v>
      </c>
      <c r="K96" s="6" t="str">
        <f t="shared" si="4"/>
        <v>OK</v>
      </c>
      <c r="L96" t="str">
        <f t="shared" si="5"/>
        <v>OK</v>
      </c>
    </row>
    <row r="97" spans="1:12">
      <c r="A97">
        <v>96</v>
      </c>
      <c r="B97" t="s">
        <v>23</v>
      </c>
      <c r="C97" t="s">
        <v>33</v>
      </c>
      <c r="D97" t="s">
        <v>144</v>
      </c>
      <c r="E97" t="s">
        <v>240</v>
      </c>
      <c r="F97" t="s">
        <v>339</v>
      </c>
      <c r="J97" t="str">
        <f t="shared" si="3"/>
        <v>OK</v>
      </c>
      <c r="K97" s="6" t="str">
        <f t="shared" si="4"/>
        <v>OK</v>
      </c>
      <c r="L97" t="str">
        <f t="shared" si="5"/>
        <v>OK</v>
      </c>
    </row>
    <row r="98" spans="1:12">
      <c r="A98">
        <v>97</v>
      </c>
      <c r="B98" t="s">
        <v>26</v>
      </c>
      <c r="C98" t="s">
        <v>48</v>
      </c>
      <c r="D98" t="s">
        <v>145</v>
      </c>
      <c r="E98" t="s">
        <v>214</v>
      </c>
      <c r="F98" t="s">
        <v>340</v>
      </c>
      <c r="J98" t="str">
        <f t="shared" si="3"/>
        <v>OK</v>
      </c>
      <c r="K98" s="6" t="str">
        <f t="shared" si="4"/>
        <v>OK</v>
      </c>
      <c r="L98" t="str">
        <f t="shared" si="5"/>
        <v>OK</v>
      </c>
    </row>
    <row r="99" spans="1:12">
      <c r="A99">
        <v>98</v>
      </c>
      <c r="B99" t="s">
        <v>22</v>
      </c>
      <c r="C99" t="s">
        <v>46</v>
      </c>
      <c r="D99" t="s">
        <v>146</v>
      </c>
      <c r="E99" t="s">
        <v>241</v>
      </c>
      <c r="F99" t="s">
        <v>341</v>
      </c>
      <c r="J99" t="str">
        <f t="shared" si="3"/>
        <v>OK</v>
      </c>
      <c r="K99" s="6" t="str">
        <f t="shared" si="4"/>
        <v>OK</v>
      </c>
      <c r="L99" t="str">
        <f t="shared" si="5"/>
        <v>OK</v>
      </c>
    </row>
    <row r="100" spans="1:12">
      <c r="A100">
        <v>99</v>
      </c>
      <c r="B100" t="s">
        <v>22</v>
      </c>
      <c r="C100" t="s">
        <v>38</v>
      </c>
      <c r="D100" t="s">
        <v>147</v>
      </c>
      <c r="E100" t="s">
        <v>242</v>
      </c>
      <c r="F100" t="s">
        <v>342</v>
      </c>
      <c r="J100" t="str">
        <f t="shared" si="3"/>
        <v>OK</v>
      </c>
      <c r="K100" s="6" t="str">
        <f t="shared" si="4"/>
        <v>OK</v>
      </c>
      <c r="L100" t="str">
        <f t="shared" si="5"/>
        <v>OK</v>
      </c>
    </row>
    <row r="101" spans="1:12">
      <c r="A101">
        <v>100</v>
      </c>
      <c r="B101" t="s">
        <v>28</v>
      </c>
      <c r="C101" t="s">
        <v>37</v>
      </c>
      <c r="D101" t="s">
        <v>148</v>
      </c>
      <c r="E101" t="s">
        <v>243</v>
      </c>
      <c r="F101" t="s">
        <v>343</v>
      </c>
      <c r="J101" t="str">
        <f t="shared" si="3"/>
        <v>OK</v>
      </c>
      <c r="K101" s="6" t="str">
        <f t="shared" si="4"/>
        <v>OK</v>
      </c>
      <c r="L101" t="str">
        <f t="shared" si="5"/>
        <v>OK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8"/>
  <sheetViews>
    <sheetView zoomScaleNormal="100" workbookViewId="0">
      <selection activeCell="E3" sqref="E3"/>
    </sheetView>
  </sheetViews>
  <sheetFormatPr defaultRowHeight="14.4"/>
  <cols>
    <col min="5" max="5" width="18.109375" customWidth="1"/>
    <col min="7" max="7" width="19.77734375" customWidth="1"/>
    <col min="8" max="8" width="28" customWidth="1"/>
    <col min="11" max="11" width="11.33203125" customWidth="1"/>
    <col min="13" max="13" width="18.6640625" customWidth="1"/>
  </cols>
  <sheetData>
    <row r="1" spans="1:13">
      <c r="A1" s="1" t="s">
        <v>344</v>
      </c>
      <c r="B1" s="1" t="s">
        <v>0</v>
      </c>
      <c r="C1" s="1" t="s">
        <v>345</v>
      </c>
      <c r="D1" s="1" t="s">
        <v>346</v>
      </c>
      <c r="E1" s="1" t="s">
        <v>347</v>
      </c>
      <c r="G1" s="3" t="s">
        <v>907</v>
      </c>
      <c r="H1" s="3" t="s">
        <v>906</v>
      </c>
      <c r="K1" s="5" t="s">
        <v>910</v>
      </c>
      <c r="M1" s="5" t="s">
        <v>915</v>
      </c>
    </row>
    <row r="2" spans="1:13">
      <c r="A2">
        <v>1001</v>
      </c>
      <c r="B2">
        <v>1</v>
      </c>
      <c r="C2" t="s">
        <v>348</v>
      </c>
      <c r="D2">
        <v>1500.5</v>
      </c>
      <c r="E2" s="2">
        <v>44562</v>
      </c>
      <c r="G2" t="str">
        <f>IF(D2&lt;0,"Greșit","OK")</f>
        <v>OK</v>
      </c>
      <c r="H2" t="str">
        <f>IF(ISBLANK(B2),"Lipsă","OK")</f>
        <v>OK</v>
      </c>
      <c r="K2" t="str">
        <f>IF(AND(E2&gt;=DATE(2022,1,1),E2&lt;=DATE(2023,12,31)),"OK","Outside")</f>
        <v>OK</v>
      </c>
      <c r="M2" t="str">
        <f>IF(ISNA(VLOOKUP(B2,Clienti!A:A,1,FALSE)),"Lipsă","OK")</f>
        <v>OK</v>
      </c>
    </row>
    <row r="3" spans="1:13">
      <c r="A3">
        <v>1002</v>
      </c>
      <c r="B3">
        <v>1</v>
      </c>
      <c r="C3" t="s">
        <v>349</v>
      </c>
      <c r="D3">
        <v>5000.75</v>
      </c>
      <c r="E3" s="2">
        <v>44571</v>
      </c>
      <c r="G3" t="str">
        <f>IF(D3&lt;0,"Greșit","OK")</f>
        <v>OK</v>
      </c>
      <c r="H3" t="str">
        <f t="shared" ref="H3:H66" si="0">IF(ISBLANK(B3),"Lipsă","OK")</f>
        <v>OK</v>
      </c>
      <c r="K3" t="str">
        <f t="shared" ref="K3:K66" si="1">IF(AND(E3&gt;=DATE(2022,1,1),E3&lt;=DATE(2023,12,31)),"OK","Outside")</f>
        <v>OK</v>
      </c>
      <c r="M3" t="str">
        <f>IF(ISNA(VLOOKUP(B3,Clienti!A:A,1,FALSE)),"Lipsă","OK")</f>
        <v>OK</v>
      </c>
    </row>
    <row r="4" spans="1:13">
      <c r="A4">
        <v>1003</v>
      </c>
      <c r="B4">
        <v>2</v>
      </c>
      <c r="C4" t="s">
        <v>348</v>
      </c>
      <c r="D4">
        <v>1200</v>
      </c>
      <c r="E4" s="2">
        <v>44576</v>
      </c>
      <c r="G4" t="str">
        <f t="shared" ref="G4:G66" si="2">IF(D4&lt;0,"Greșit","OK")</f>
        <v>OK</v>
      </c>
      <c r="H4" t="str">
        <f t="shared" si="0"/>
        <v>OK</v>
      </c>
      <c r="K4" t="str">
        <f t="shared" si="1"/>
        <v>OK</v>
      </c>
      <c r="M4" t="str">
        <f>IF(ISNA(VLOOKUP(B4,Clienti!A:A,1,FALSE)),"Lipsă","OK")</f>
        <v>OK</v>
      </c>
    </row>
    <row r="5" spans="1:13">
      <c r="A5">
        <v>1004</v>
      </c>
      <c r="B5">
        <v>2</v>
      </c>
      <c r="C5" t="s">
        <v>349</v>
      </c>
      <c r="D5">
        <v>3000</v>
      </c>
      <c r="E5" s="2">
        <v>44581</v>
      </c>
      <c r="G5" t="str">
        <f t="shared" si="2"/>
        <v>OK</v>
      </c>
      <c r="H5" t="str">
        <f t="shared" si="0"/>
        <v>OK</v>
      </c>
      <c r="K5" t="str">
        <f t="shared" si="1"/>
        <v>OK</v>
      </c>
      <c r="M5" t="str">
        <f>IF(ISNA(VLOOKUP(B5,Clienti!A:A,1,FALSE)),"Lipsă","OK")</f>
        <v>OK</v>
      </c>
    </row>
    <row r="6" spans="1:13">
      <c r="A6">
        <v>1005</v>
      </c>
      <c r="B6">
        <v>3</v>
      </c>
      <c r="C6" t="s">
        <v>348</v>
      </c>
      <c r="D6">
        <v>4500.25</v>
      </c>
      <c r="E6" s="2">
        <v>44586</v>
      </c>
      <c r="G6" t="str">
        <f t="shared" si="2"/>
        <v>OK</v>
      </c>
      <c r="H6" t="str">
        <f t="shared" si="0"/>
        <v>OK</v>
      </c>
      <c r="K6" t="str">
        <f t="shared" si="1"/>
        <v>OK</v>
      </c>
      <c r="M6" t="str">
        <f>IF(ISNA(VLOOKUP(B6,Clienti!A:A,1,FALSE)),"Lipsă","OK")</f>
        <v>OK</v>
      </c>
    </row>
    <row r="7" spans="1:13">
      <c r="A7">
        <v>1006</v>
      </c>
      <c r="B7">
        <v>3</v>
      </c>
      <c r="C7" t="s">
        <v>349</v>
      </c>
      <c r="D7">
        <v>7000</v>
      </c>
      <c r="E7" s="2">
        <v>44591</v>
      </c>
      <c r="G7" t="str">
        <f t="shared" si="2"/>
        <v>OK</v>
      </c>
      <c r="H7" t="str">
        <f t="shared" si="0"/>
        <v>OK</v>
      </c>
      <c r="K7" t="str">
        <f t="shared" si="1"/>
        <v>OK</v>
      </c>
      <c r="M7" t="str">
        <f>IF(ISNA(VLOOKUP(B7,Clienti!A:A,1,FALSE)),"Lipsă","OK")</f>
        <v>OK</v>
      </c>
    </row>
    <row r="8" spans="1:13">
      <c r="A8">
        <v>1007</v>
      </c>
      <c r="B8">
        <v>4</v>
      </c>
      <c r="C8" t="s">
        <v>348</v>
      </c>
      <c r="D8">
        <v>2200.5</v>
      </c>
      <c r="E8" s="2">
        <v>44593</v>
      </c>
      <c r="G8" t="str">
        <f t="shared" si="2"/>
        <v>OK</v>
      </c>
      <c r="H8" t="str">
        <f t="shared" si="0"/>
        <v>OK</v>
      </c>
      <c r="K8" t="str">
        <f t="shared" si="1"/>
        <v>OK</v>
      </c>
      <c r="M8" t="str">
        <f>IF(ISNA(VLOOKUP(B8,Clienti!A:A,1,FALSE)),"Lipsă","OK")</f>
        <v>OK</v>
      </c>
    </row>
    <row r="9" spans="1:13">
      <c r="A9">
        <v>1008</v>
      </c>
      <c r="B9">
        <v>5</v>
      </c>
      <c r="C9" t="s">
        <v>348</v>
      </c>
      <c r="D9">
        <v>3100.75</v>
      </c>
      <c r="E9" s="2">
        <v>44597</v>
      </c>
      <c r="G9" t="str">
        <f t="shared" si="2"/>
        <v>OK</v>
      </c>
      <c r="H9" t="str">
        <f t="shared" si="0"/>
        <v>OK</v>
      </c>
      <c r="K9" t="str">
        <f t="shared" si="1"/>
        <v>OK</v>
      </c>
      <c r="M9" t="str">
        <f>IF(ISNA(VLOOKUP(B9,Clienti!A:A,1,FALSE)),"Lipsă","OK")</f>
        <v>OK</v>
      </c>
    </row>
    <row r="10" spans="1:13">
      <c r="A10">
        <v>1009</v>
      </c>
      <c r="B10">
        <v>5</v>
      </c>
      <c r="C10" t="s">
        <v>349</v>
      </c>
      <c r="D10">
        <v>8100.5</v>
      </c>
      <c r="E10" s="2">
        <v>44602</v>
      </c>
      <c r="G10" t="str">
        <f t="shared" si="2"/>
        <v>OK</v>
      </c>
      <c r="H10" t="str">
        <f t="shared" si="0"/>
        <v>OK</v>
      </c>
      <c r="K10" t="str">
        <f t="shared" si="1"/>
        <v>OK</v>
      </c>
      <c r="M10" t="str">
        <f>IF(ISNA(VLOOKUP(B10,Clienti!A:A,1,FALSE)),"Lipsă","OK")</f>
        <v>OK</v>
      </c>
    </row>
    <row r="11" spans="1:13">
      <c r="A11">
        <v>1010</v>
      </c>
      <c r="B11">
        <v>6</v>
      </c>
      <c r="C11" t="s">
        <v>348</v>
      </c>
      <c r="D11">
        <v>4000</v>
      </c>
      <c r="E11" s="2">
        <v>44607</v>
      </c>
      <c r="G11" t="str">
        <f t="shared" si="2"/>
        <v>OK</v>
      </c>
      <c r="H11" t="str">
        <f t="shared" si="0"/>
        <v>OK</v>
      </c>
      <c r="K11" t="str">
        <f t="shared" si="1"/>
        <v>OK</v>
      </c>
      <c r="M11" t="str">
        <f>IF(ISNA(VLOOKUP(B11,Clienti!A:A,1,FALSE)),"Lipsă","OK")</f>
        <v>OK</v>
      </c>
    </row>
    <row r="12" spans="1:13">
      <c r="A12">
        <v>1011</v>
      </c>
      <c r="B12">
        <v>7</v>
      </c>
      <c r="C12" t="s">
        <v>348</v>
      </c>
      <c r="D12">
        <v>3300.25</v>
      </c>
      <c r="E12" s="2">
        <v>44612</v>
      </c>
      <c r="G12" t="str">
        <f t="shared" si="2"/>
        <v>OK</v>
      </c>
      <c r="H12" t="str">
        <f t="shared" si="0"/>
        <v>OK</v>
      </c>
      <c r="K12" t="str">
        <f t="shared" si="1"/>
        <v>OK</v>
      </c>
      <c r="M12" t="str">
        <f>IF(ISNA(VLOOKUP(B12,Clienti!A:A,1,FALSE)),"Lipsă","OK")</f>
        <v>OK</v>
      </c>
    </row>
    <row r="13" spans="1:13">
      <c r="A13">
        <v>1012</v>
      </c>
      <c r="B13">
        <v>8</v>
      </c>
      <c r="C13" t="s">
        <v>349</v>
      </c>
      <c r="D13">
        <v>9200</v>
      </c>
      <c r="E13" s="2">
        <v>44617</v>
      </c>
      <c r="G13" t="str">
        <f t="shared" si="2"/>
        <v>OK</v>
      </c>
      <c r="H13" t="str">
        <f t="shared" si="0"/>
        <v>OK</v>
      </c>
      <c r="K13" t="str">
        <f t="shared" si="1"/>
        <v>OK</v>
      </c>
      <c r="M13" t="str">
        <f>IF(ISNA(VLOOKUP(B13,Clienti!A:A,1,FALSE)),"Lipsă","OK")</f>
        <v>OK</v>
      </c>
    </row>
    <row r="14" spans="1:13">
      <c r="A14">
        <v>1013</v>
      </c>
      <c r="B14">
        <v>9</v>
      </c>
      <c r="C14" t="s">
        <v>348</v>
      </c>
      <c r="D14">
        <v>500</v>
      </c>
      <c r="E14" s="2">
        <v>44621</v>
      </c>
      <c r="G14" t="str">
        <f t="shared" si="2"/>
        <v>OK</v>
      </c>
      <c r="H14" t="str">
        <f t="shared" si="0"/>
        <v>OK</v>
      </c>
      <c r="K14" t="str">
        <f t="shared" si="1"/>
        <v>OK</v>
      </c>
      <c r="M14" t="str">
        <f>IF(ISNA(VLOOKUP(B14,Clienti!A:A,1,FALSE)),"Lipsă","OK")</f>
        <v>OK</v>
      </c>
    </row>
    <row r="15" spans="1:13">
      <c r="A15">
        <v>1014</v>
      </c>
      <c r="B15">
        <v>10</v>
      </c>
      <c r="C15" t="s">
        <v>348</v>
      </c>
      <c r="D15">
        <v>750</v>
      </c>
      <c r="E15" s="2">
        <v>44625</v>
      </c>
      <c r="G15" t="str">
        <f t="shared" si="2"/>
        <v>OK</v>
      </c>
      <c r="H15" t="str">
        <f t="shared" si="0"/>
        <v>OK</v>
      </c>
      <c r="K15" t="str">
        <f t="shared" si="1"/>
        <v>OK</v>
      </c>
      <c r="M15" t="str">
        <f>IF(ISNA(VLOOKUP(B15,Clienti!A:A,1,FALSE)),"Lipsă","OK")</f>
        <v>OK</v>
      </c>
    </row>
    <row r="16" spans="1:13">
      <c r="A16">
        <v>1015</v>
      </c>
      <c r="B16">
        <v>10</v>
      </c>
      <c r="C16" t="s">
        <v>349</v>
      </c>
      <c r="D16">
        <v>2500</v>
      </c>
      <c r="E16" s="2">
        <v>44630</v>
      </c>
      <c r="G16" t="str">
        <f t="shared" si="2"/>
        <v>OK</v>
      </c>
      <c r="H16" t="str">
        <f t="shared" si="0"/>
        <v>OK</v>
      </c>
      <c r="K16" t="str">
        <f t="shared" si="1"/>
        <v>OK</v>
      </c>
      <c r="M16" t="str">
        <f>IF(ISNA(VLOOKUP(B16,Clienti!A:A,1,FALSE)),"Lipsă","OK")</f>
        <v>OK</v>
      </c>
    </row>
    <row r="17" spans="1:13">
      <c r="A17">
        <v>1016</v>
      </c>
      <c r="B17">
        <v>16</v>
      </c>
      <c r="C17" t="s">
        <v>349</v>
      </c>
      <c r="D17">
        <v>13457.31</v>
      </c>
      <c r="E17" s="2">
        <v>43348</v>
      </c>
      <c r="G17" t="str">
        <f t="shared" si="2"/>
        <v>OK</v>
      </c>
      <c r="H17" t="str">
        <f t="shared" si="0"/>
        <v>OK</v>
      </c>
      <c r="K17" t="str">
        <f t="shared" si="1"/>
        <v>Outside</v>
      </c>
      <c r="M17" t="str">
        <f>IF(ISNA(VLOOKUP(B17,Clienti!A:A,1,FALSE)),"Lipsă","OK")</f>
        <v>OK</v>
      </c>
    </row>
    <row r="18" spans="1:13">
      <c r="A18">
        <v>1017</v>
      </c>
      <c r="B18">
        <v>16</v>
      </c>
      <c r="C18" t="s">
        <v>349</v>
      </c>
      <c r="D18">
        <v>10362.58</v>
      </c>
      <c r="E18" s="2">
        <v>43687</v>
      </c>
      <c r="G18" t="str">
        <f t="shared" si="2"/>
        <v>OK</v>
      </c>
      <c r="H18" t="str">
        <f t="shared" si="0"/>
        <v>OK</v>
      </c>
      <c r="K18" t="str">
        <f t="shared" si="1"/>
        <v>Outside</v>
      </c>
      <c r="M18" t="str">
        <f>IF(ISNA(VLOOKUP(B18,Clienti!A:A,1,FALSE)),"Lipsă","OK")</f>
        <v>OK</v>
      </c>
    </row>
    <row r="19" spans="1:13">
      <c r="A19">
        <v>1018</v>
      </c>
      <c r="B19">
        <v>16</v>
      </c>
      <c r="C19" t="s">
        <v>349</v>
      </c>
      <c r="D19">
        <v>48240.59</v>
      </c>
      <c r="E19" s="2">
        <v>43810</v>
      </c>
      <c r="G19" t="str">
        <f t="shared" si="2"/>
        <v>OK</v>
      </c>
      <c r="H19" t="str">
        <f t="shared" si="0"/>
        <v>OK</v>
      </c>
      <c r="K19" t="str">
        <f t="shared" si="1"/>
        <v>Outside</v>
      </c>
      <c r="M19" t="str">
        <f>IF(ISNA(VLOOKUP(B19,Clienti!A:A,1,FALSE)),"Lipsă","OK")</f>
        <v>OK</v>
      </c>
    </row>
    <row r="20" spans="1:13">
      <c r="A20">
        <v>1019</v>
      </c>
      <c r="B20">
        <v>17</v>
      </c>
      <c r="C20" t="s">
        <v>349</v>
      </c>
      <c r="D20">
        <v>6969.16</v>
      </c>
      <c r="E20" s="2">
        <v>44580</v>
      </c>
      <c r="G20" t="str">
        <f t="shared" si="2"/>
        <v>OK</v>
      </c>
      <c r="H20" t="str">
        <f t="shared" si="0"/>
        <v>OK</v>
      </c>
      <c r="K20" t="str">
        <f t="shared" si="1"/>
        <v>OK</v>
      </c>
      <c r="M20" t="str">
        <f>IF(ISNA(VLOOKUP(B20,Clienti!A:A,1,FALSE)),"Lipsă","OK")</f>
        <v>OK</v>
      </c>
    </row>
    <row r="21" spans="1:13">
      <c r="A21">
        <v>1020</v>
      </c>
      <c r="B21">
        <v>17</v>
      </c>
      <c r="C21" t="s">
        <v>349</v>
      </c>
      <c r="D21">
        <v>15177.94</v>
      </c>
      <c r="E21" s="2">
        <v>43342</v>
      </c>
      <c r="G21" t="str">
        <f t="shared" si="2"/>
        <v>OK</v>
      </c>
      <c r="H21" t="str">
        <f t="shared" si="0"/>
        <v>OK</v>
      </c>
      <c r="K21" t="str">
        <f t="shared" si="1"/>
        <v>Outside</v>
      </c>
      <c r="M21" t="str">
        <f>IF(ISNA(VLOOKUP(B21,Clienti!A:A,1,FALSE)),"Lipsă","OK")</f>
        <v>OK</v>
      </c>
    </row>
    <row r="22" spans="1:13">
      <c r="A22">
        <v>1021</v>
      </c>
      <c r="B22">
        <v>17</v>
      </c>
      <c r="C22" t="s">
        <v>349</v>
      </c>
      <c r="D22">
        <v>30165.8</v>
      </c>
      <c r="E22" s="2">
        <v>43241</v>
      </c>
      <c r="G22" t="str">
        <f t="shared" si="2"/>
        <v>OK</v>
      </c>
      <c r="H22" t="str">
        <f t="shared" si="0"/>
        <v>OK</v>
      </c>
      <c r="K22" t="str">
        <f t="shared" si="1"/>
        <v>Outside</v>
      </c>
      <c r="M22" t="str">
        <f>IF(ISNA(VLOOKUP(B22,Clienti!A:A,1,FALSE)),"Lipsă","OK")</f>
        <v>OK</v>
      </c>
    </row>
    <row r="23" spans="1:13">
      <c r="A23">
        <v>1022</v>
      </c>
      <c r="B23">
        <v>18</v>
      </c>
      <c r="C23" t="s">
        <v>348</v>
      </c>
      <c r="D23">
        <v>47310.37</v>
      </c>
      <c r="E23" s="2">
        <v>43872</v>
      </c>
      <c r="G23" t="str">
        <f t="shared" si="2"/>
        <v>OK</v>
      </c>
      <c r="H23" t="str">
        <f t="shared" si="0"/>
        <v>OK</v>
      </c>
      <c r="K23" t="str">
        <f t="shared" si="1"/>
        <v>Outside</v>
      </c>
      <c r="M23" t="str">
        <f>IF(ISNA(VLOOKUP(B23,Clienti!A:A,1,FALSE)),"Lipsă","OK")</f>
        <v>OK</v>
      </c>
    </row>
    <row r="24" spans="1:13">
      <c r="A24">
        <v>1023</v>
      </c>
      <c r="B24">
        <v>19</v>
      </c>
      <c r="C24" t="s">
        <v>349</v>
      </c>
      <c r="D24">
        <v>33844.99</v>
      </c>
      <c r="E24" s="2">
        <v>44395</v>
      </c>
      <c r="G24" t="str">
        <f t="shared" si="2"/>
        <v>OK</v>
      </c>
      <c r="H24" t="str">
        <f t="shared" si="0"/>
        <v>OK</v>
      </c>
      <c r="K24" t="str">
        <f t="shared" si="1"/>
        <v>Outside</v>
      </c>
      <c r="M24" t="str">
        <f>IF(ISNA(VLOOKUP(B24,Clienti!A:A,1,FALSE)),"Lipsă","OK")</f>
        <v>OK</v>
      </c>
    </row>
    <row r="25" spans="1:13">
      <c r="A25">
        <v>1024</v>
      </c>
      <c r="B25">
        <v>20</v>
      </c>
      <c r="C25" t="s">
        <v>348</v>
      </c>
      <c r="D25">
        <v>31875.759999999998</v>
      </c>
      <c r="E25" s="2">
        <v>44840</v>
      </c>
      <c r="G25" t="str">
        <f t="shared" si="2"/>
        <v>OK</v>
      </c>
      <c r="H25" t="str">
        <f t="shared" si="0"/>
        <v>OK</v>
      </c>
      <c r="K25" t="str">
        <f t="shared" si="1"/>
        <v>OK</v>
      </c>
      <c r="M25" t="str">
        <f>IF(ISNA(VLOOKUP(B25,Clienti!A:A,1,FALSE)),"Lipsă","OK")</f>
        <v>OK</v>
      </c>
    </row>
    <row r="26" spans="1:13">
      <c r="A26">
        <v>1025</v>
      </c>
      <c r="B26">
        <v>20</v>
      </c>
      <c r="C26" t="s">
        <v>348</v>
      </c>
      <c r="D26">
        <v>8709.94</v>
      </c>
      <c r="E26" s="2">
        <v>43180</v>
      </c>
      <c r="G26" t="str">
        <f t="shared" si="2"/>
        <v>OK</v>
      </c>
      <c r="H26" t="str">
        <f t="shared" si="0"/>
        <v>OK</v>
      </c>
      <c r="K26" t="str">
        <f t="shared" si="1"/>
        <v>Outside</v>
      </c>
      <c r="M26" t="str">
        <f>IF(ISNA(VLOOKUP(B26,Clienti!A:A,1,FALSE)),"Lipsă","OK")</f>
        <v>OK</v>
      </c>
    </row>
    <row r="27" spans="1:13">
      <c r="A27">
        <v>1026</v>
      </c>
      <c r="B27">
        <v>20</v>
      </c>
      <c r="C27" t="s">
        <v>349</v>
      </c>
      <c r="D27">
        <v>18952.36</v>
      </c>
      <c r="E27" s="2">
        <v>44158</v>
      </c>
      <c r="G27" t="str">
        <f t="shared" si="2"/>
        <v>OK</v>
      </c>
      <c r="H27" t="str">
        <f t="shared" si="0"/>
        <v>OK</v>
      </c>
      <c r="K27" t="str">
        <f t="shared" si="1"/>
        <v>Outside</v>
      </c>
      <c r="M27" t="str">
        <f>IF(ISNA(VLOOKUP(B27,Clienti!A:A,1,FALSE)),"Lipsă","OK")</f>
        <v>OK</v>
      </c>
    </row>
    <row r="28" spans="1:13">
      <c r="A28">
        <v>1027</v>
      </c>
      <c r="B28">
        <v>21</v>
      </c>
      <c r="C28" t="s">
        <v>349</v>
      </c>
      <c r="D28">
        <v>32719.09</v>
      </c>
      <c r="E28" s="2">
        <v>43464</v>
      </c>
      <c r="G28" t="str">
        <f t="shared" si="2"/>
        <v>OK</v>
      </c>
      <c r="H28" t="str">
        <f t="shared" si="0"/>
        <v>OK</v>
      </c>
      <c r="K28" t="str">
        <f t="shared" si="1"/>
        <v>Outside</v>
      </c>
      <c r="M28" t="str">
        <f>IF(ISNA(VLOOKUP(B28,Clienti!A:A,1,FALSE)),"Lipsă","OK")</f>
        <v>OK</v>
      </c>
    </row>
    <row r="29" spans="1:13">
      <c r="A29">
        <v>1028</v>
      </c>
      <c r="B29">
        <v>21</v>
      </c>
      <c r="C29" t="s">
        <v>348</v>
      </c>
      <c r="D29">
        <v>42633.35</v>
      </c>
      <c r="E29" s="2">
        <v>44375</v>
      </c>
      <c r="G29" t="str">
        <f t="shared" si="2"/>
        <v>OK</v>
      </c>
      <c r="H29" t="str">
        <f t="shared" si="0"/>
        <v>OK</v>
      </c>
      <c r="K29" t="str">
        <f t="shared" si="1"/>
        <v>Outside</v>
      </c>
      <c r="M29" t="str">
        <f>IF(ISNA(VLOOKUP(B29,Clienti!A:A,1,FALSE)),"Lipsă","OK")</f>
        <v>OK</v>
      </c>
    </row>
    <row r="30" spans="1:13">
      <c r="A30">
        <v>1029</v>
      </c>
      <c r="B30">
        <v>21</v>
      </c>
      <c r="C30" t="s">
        <v>348</v>
      </c>
      <c r="D30">
        <v>23959.84</v>
      </c>
      <c r="E30" s="2">
        <v>44000</v>
      </c>
      <c r="G30" t="str">
        <f t="shared" si="2"/>
        <v>OK</v>
      </c>
      <c r="H30" t="str">
        <f t="shared" si="0"/>
        <v>OK</v>
      </c>
      <c r="K30" t="str">
        <f t="shared" si="1"/>
        <v>Outside</v>
      </c>
      <c r="M30" t="str">
        <f>IF(ISNA(VLOOKUP(B30,Clienti!A:A,1,FALSE)),"Lipsă","OK")</f>
        <v>OK</v>
      </c>
    </row>
    <row r="31" spans="1:13">
      <c r="A31">
        <v>1030</v>
      </c>
      <c r="B31">
        <v>22</v>
      </c>
      <c r="C31" t="s">
        <v>349</v>
      </c>
      <c r="D31">
        <v>17031.740000000002</v>
      </c>
      <c r="E31" s="2">
        <v>44080</v>
      </c>
      <c r="G31" t="str">
        <f t="shared" si="2"/>
        <v>OK</v>
      </c>
      <c r="H31" t="str">
        <f t="shared" si="0"/>
        <v>OK</v>
      </c>
      <c r="K31" t="str">
        <f t="shared" si="1"/>
        <v>Outside</v>
      </c>
      <c r="M31" t="str">
        <f>IF(ISNA(VLOOKUP(B31,Clienti!A:A,1,FALSE)),"Lipsă","OK")</f>
        <v>OK</v>
      </c>
    </row>
    <row r="32" spans="1:13">
      <c r="A32">
        <v>1031</v>
      </c>
      <c r="B32">
        <v>22</v>
      </c>
      <c r="C32" t="s">
        <v>349</v>
      </c>
      <c r="D32">
        <v>45876.29</v>
      </c>
      <c r="E32" s="2">
        <v>44015</v>
      </c>
      <c r="G32" t="str">
        <f t="shared" si="2"/>
        <v>OK</v>
      </c>
      <c r="H32" t="str">
        <f t="shared" si="0"/>
        <v>OK</v>
      </c>
      <c r="K32" t="str">
        <f t="shared" si="1"/>
        <v>Outside</v>
      </c>
      <c r="M32" t="str">
        <f>IF(ISNA(VLOOKUP(B32,Clienti!A:A,1,FALSE)),"Lipsă","OK")</f>
        <v>OK</v>
      </c>
    </row>
    <row r="33" spans="1:13">
      <c r="A33">
        <v>1032</v>
      </c>
      <c r="B33">
        <v>22</v>
      </c>
      <c r="C33" t="s">
        <v>349</v>
      </c>
      <c r="D33">
        <v>5798.04</v>
      </c>
      <c r="E33" s="2">
        <v>43207</v>
      </c>
      <c r="G33" t="str">
        <f t="shared" si="2"/>
        <v>OK</v>
      </c>
      <c r="H33" t="str">
        <f t="shared" si="0"/>
        <v>OK</v>
      </c>
      <c r="K33" t="str">
        <f t="shared" si="1"/>
        <v>Outside</v>
      </c>
      <c r="M33" t="str">
        <f>IF(ISNA(VLOOKUP(B33,Clienti!A:A,1,FALSE)),"Lipsă","OK")</f>
        <v>OK</v>
      </c>
    </row>
    <row r="34" spans="1:13">
      <c r="A34">
        <v>1033</v>
      </c>
      <c r="B34">
        <v>23</v>
      </c>
      <c r="C34" t="s">
        <v>348</v>
      </c>
      <c r="D34">
        <v>9691.09</v>
      </c>
      <c r="E34" s="2">
        <v>43704</v>
      </c>
      <c r="G34" t="str">
        <f t="shared" si="2"/>
        <v>OK</v>
      </c>
      <c r="H34" t="str">
        <f t="shared" si="0"/>
        <v>OK</v>
      </c>
      <c r="K34" t="str">
        <f t="shared" si="1"/>
        <v>Outside</v>
      </c>
      <c r="M34" t="str">
        <f>IF(ISNA(VLOOKUP(B34,Clienti!A:A,1,FALSE)),"Lipsă","OK")</f>
        <v>OK</v>
      </c>
    </row>
    <row r="35" spans="1:13">
      <c r="A35">
        <v>1034</v>
      </c>
      <c r="B35">
        <v>23</v>
      </c>
      <c r="C35" t="s">
        <v>349</v>
      </c>
      <c r="D35">
        <v>14224.15</v>
      </c>
      <c r="E35" s="2">
        <v>44031</v>
      </c>
      <c r="G35" t="str">
        <f t="shared" si="2"/>
        <v>OK</v>
      </c>
      <c r="H35" t="str">
        <f t="shared" si="0"/>
        <v>OK</v>
      </c>
      <c r="K35" t="str">
        <f t="shared" si="1"/>
        <v>Outside</v>
      </c>
      <c r="M35" t="str">
        <f>IF(ISNA(VLOOKUP(B35,Clienti!A:A,1,FALSE)),"Lipsă","OK")</f>
        <v>OK</v>
      </c>
    </row>
    <row r="36" spans="1:13">
      <c r="A36">
        <v>1035</v>
      </c>
      <c r="B36">
        <v>23</v>
      </c>
      <c r="C36" t="s">
        <v>348</v>
      </c>
      <c r="D36">
        <v>14180.69</v>
      </c>
      <c r="E36" s="2">
        <v>43854</v>
      </c>
      <c r="G36" t="str">
        <f t="shared" si="2"/>
        <v>OK</v>
      </c>
      <c r="H36" t="str">
        <f t="shared" si="0"/>
        <v>OK</v>
      </c>
      <c r="K36" t="str">
        <f t="shared" si="1"/>
        <v>Outside</v>
      </c>
      <c r="M36" t="str">
        <f>IF(ISNA(VLOOKUP(B36,Clienti!A:A,1,FALSE)),"Lipsă","OK")</f>
        <v>OK</v>
      </c>
    </row>
    <row r="37" spans="1:13">
      <c r="A37">
        <v>1036</v>
      </c>
      <c r="B37">
        <v>24</v>
      </c>
      <c r="C37" t="s">
        <v>349</v>
      </c>
      <c r="D37">
        <v>49563.59</v>
      </c>
      <c r="E37" s="2">
        <v>44485</v>
      </c>
      <c r="G37" t="str">
        <f t="shared" si="2"/>
        <v>OK</v>
      </c>
      <c r="H37" t="str">
        <f t="shared" si="0"/>
        <v>OK</v>
      </c>
      <c r="K37" t="str">
        <f t="shared" si="1"/>
        <v>Outside</v>
      </c>
      <c r="M37" t="str">
        <f>IF(ISNA(VLOOKUP(B37,Clienti!A:A,1,FALSE)),"Lipsă","OK")</f>
        <v>OK</v>
      </c>
    </row>
    <row r="38" spans="1:13">
      <c r="A38">
        <v>1037</v>
      </c>
      <c r="B38">
        <v>25</v>
      </c>
      <c r="C38" t="s">
        <v>348</v>
      </c>
      <c r="D38">
        <v>30873.29</v>
      </c>
      <c r="E38" s="2">
        <v>44813</v>
      </c>
      <c r="G38" t="str">
        <f t="shared" si="2"/>
        <v>OK</v>
      </c>
      <c r="H38" t="str">
        <f t="shared" si="0"/>
        <v>OK</v>
      </c>
      <c r="K38" t="str">
        <f t="shared" si="1"/>
        <v>OK</v>
      </c>
      <c r="M38" t="str">
        <f>IF(ISNA(VLOOKUP(B38,Clienti!A:A,1,FALSE)),"Lipsă","OK")</f>
        <v>OK</v>
      </c>
    </row>
    <row r="39" spans="1:13">
      <c r="A39">
        <v>1038</v>
      </c>
      <c r="B39">
        <v>26</v>
      </c>
      <c r="C39" t="s">
        <v>349</v>
      </c>
      <c r="D39">
        <v>2196.37</v>
      </c>
      <c r="E39" s="2">
        <v>44229</v>
      </c>
      <c r="G39" t="str">
        <f t="shared" si="2"/>
        <v>OK</v>
      </c>
      <c r="H39" t="str">
        <f t="shared" si="0"/>
        <v>OK</v>
      </c>
      <c r="K39" t="str">
        <f t="shared" si="1"/>
        <v>Outside</v>
      </c>
      <c r="M39" t="str">
        <f>IF(ISNA(VLOOKUP(B39,Clienti!A:A,1,FALSE)),"Lipsă","OK")</f>
        <v>OK</v>
      </c>
    </row>
    <row r="40" spans="1:13">
      <c r="A40">
        <v>1039</v>
      </c>
      <c r="B40">
        <v>27</v>
      </c>
      <c r="C40" t="s">
        <v>349</v>
      </c>
      <c r="D40">
        <v>49576.77</v>
      </c>
      <c r="E40" s="2">
        <v>43404</v>
      </c>
      <c r="G40" t="str">
        <f t="shared" si="2"/>
        <v>OK</v>
      </c>
      <c r="H40" t="str">
        <f t="shared" si="0"/>
        <v>OK</v>
      </c>
      <c r="K40" t="str">
        <f t="shared" si="1"/>
        <v>Outside</v>
      </c>
      <c r="M40" t="str">
        <f>IF(ISNA(VLOOKUP(B40,Clienti!A:A,1,FALSE)),"Lipsă","OK")</f>
        <v>OK</v>
      </c>
    </row>
    <row r="41" spans="1:13">
      <c r="A41">
        <v>1040</v>
      </c>
      <c r="B41">
        <v>27</v>
      </c>
      <c r="C41" t="s">
        <v>348</v>
      </c>
      <c r="D41">
        <v>668.56</v>
      </c>
      <c r="E41" s="2">
        <v>43541</v>
      </c>
      <c r="G41" t="str">
        <f t="shared" si="2"/>
        <v>OK</v>
      </c>
      <c r="H41" t="str">
        <f t="shared" si="0"/>
        <v>OK</v>
      </c>
      <c r="K41" t="str">
        <f t="shared" si="1"/>
        <v>Outside</v>
      </c>
      <c r="M41" t="str">
        <f>IF(ISNA(VLOOKUP(B41,Clienti!A:A,1,FALSE)),"Lipsă","OK")</f>
        <v>OK</v>
      </c>
    </row>
    <row r="42" spans="1:13">
      <c r="A42">
        <v>1041</v>
      </c>
      <c r="B42">
        <v>27</v>
      </c>
      <c r="C42" t="s">
        <v>349</v>
      </c>
      <c r="D42">
        <v>30753.63</v>
      </c>
      <c r="E42" s="2">
        <v>44398</v>
      </c>
      <c r="G42" t="str">
        <f t="shared" si="2"/>
        <v>OK</v>
      </c>
      <c r="H42" t="str">
        <f t="shared" si="0"/>
        <v>OK</v>
      </c>
      <c r="K42" t="str">
        <f t="shared" si="1"/>
        <v>Outside</v>
      </c>
      <c r="M42" t="str">
        <f>IF(ISNA(VLOOKUP(B42,Clienti!A:A,1,FALSE)),"Lipsă","OK")</f>
        <v>OK</v>
      </c>
    </row>
    <row r="43" spans="1:13">
      <c r="A43">
        <v>1042</v>
      </c>
      <c r="B43">
        <v>28</v>
      </c>
      <c r="C43" t="s">
        <v>348</v>
      </c>
      <c r="D43">
        <v>27298.94</v>
      </c>
      <c r="E43" s="2">
        <v>44209</v>
      </c>
      <c r="G43" t="str">
        <f t="shared" si="2"/>
        <v>OK</v>
      </c>
      <c r="H43" t="str">
        <f t="shared" si="0"/>
        <v>OK</v>
      </c>
      <c r="K43" t="str">
        <f t="shared" si="1"/>
        <v>Outside</v>
      </c>
      <c r="M43" t="str">
        <f>IF(ISNA(VLOOKUP(B43,Clienti!A:A,1,FALSE)),"Lipsă","OK")</f>
        <v>OK</v>
      </c>
    </row>
    <row r="44" spans="1:13">
      <c r="A44">
        <v>1043</v>
      </c>
      <c r="B44">
        <v>29</v>
      </c>
      <c r="C44" t="s">
        <v>349</v>
      </c>
      <c r="D44">
        <v>31403.14</v>
      </c>
      <c r="E44" s="2">
        <v>44761</v>
      </c>
      <c r="G44" t="str">
        <f t="shared" si="2"/>
        <v>OK</v>
      </c>
      <c r="H44" t="str">
        <f t="shared" si="0"/>
        <v>OK</v>
      </c>
      <c r="K44" t="str">
        <f t="shared" si="1"/>
        <v>OK</v>
      </c>
      <c r="M44" t="str">
        <f>IF(ISNA(VLOOKUP(B44,Clienti!A:A,1,FALSE)),"Lipsă","OK")</f>
        <v>OK</v>
      </c>
    </row>
    <row r="45" spans="1:13">
      <c r="A45">
        <v>1044</v>
      </c>
      <c r="B45">
        <v>29</v>
      </c>
      <c r="C45" t="s">
        <v>348</v>
      </c>
      <c r="D45">
        <v>8653.98</v>
      </c>
      <c r="E45" s="2">
        <v>43355</v>
      </c>
      <c r="G45" t="str">
        <f t="shared" si="2"/>
        <v>OK</v>
      </c>
      <c r="H45" t="str">
        <f t="shared" si="0"/>
        <v>OK</v>
      </c>
      <c r="K45" t="str">
        <f t="shared" si="1"/>
        <v>Outside</v>
      </c>
      <c r="M45" t="str">
        <f>IF(ISNA(VLOOKUP(B45,Clienti!A:A,1,FALSE)),"Lipsă","OK")</f>
        <v>OK</v>
      </c>
    </row>
    <row r="46" spans="1:13">
      <c r="A46">
        <v>1045</v>
      </c>
      <c r="B46">
        <v>29</v>
      </c>
      <c r="C46" t="s">
        <v>348</v>
      </c>
      <c r="D46">
        <v>31193.46</v>
      </c>
      <c r="E46" s="2">
        <v>43232</v>
      </c>
      <c r="G46" t="str">
        <f t="shared" si="2"/>
        <v>OK</v>
      </c>
      <c r="H46" t="str">
        <f t="shared" si="0"/>
        <v>OK</v>
      </c>
      <c r="K46" t="str">
        <f t="shared" si="1"/>
        <v>Outside</v>
      </c>
      <c r="M46" t="str">
        <f>IF(ISNA(VLOOKUP(B46,Clienti!A:A,1,FALSE)),"Lipsă","OK")</f>
        <v>OK</v>
      </c>
    </row>
    <row r="47" spans="1:13">
      <c r="A47">
        <v>1046</v>
      </c>
      <c r="B47">
        <v>30</v>
      </c>
      <c r="C47" t="s">
        <v>349</v>
      </c>
      <c r="D47">
        <v>19799.55</v>
      </c>
      <c r="E47" s="2">
        <v>43461</v>
      </c>
      <c r="G47" t="str">
        <f t="shared" si="2"/>
        <v>OK</v>
      </c>
      <c r="H47" t="str">
        <f t="shared" si="0"/>
        <v>OK</v>
      </c>
      <c r="K47" t="str">
        <f t="shared" si="1"/>
        <v>Outside</v>
      </c>
      <c r="M47" t="str">
        <f>IF(ISNA(VLOOKUP(B47,Clienti!A:A,1,FALSE)),"Lipsă","OK")</f>
        <v>OK</v>
      </c>
    </row>
    <row r="48" spans="1:13">
      <c r="A48">
        <v>1047</v>
      </c>
      <c r="B48">
        <v>30</v>
      </c>
      <c r="C48" t="s">
        <v>349</v>
      </c>
      <c r="D48">
        <v>49294.9</v>
      </c>
      <c r="E48" s="2">
        <v>43549</v>
      </c>
      <c r="G48" t="str">
        <f t="shared" si="2"/>
        <v>OK</v>
      </c>
      <c r="H48" t="str">
        <f t="shared" si="0"/>
        <v>OK</v>
      </c>
      <c r="K48" t="str">
        <f t="shared" si="1"/>
        <v>Outside</v>
      </c>
      <c r="M48" t="str">
        <f>IF(ISNA(VLOOKUP(B48,Clienti!A:A,1,FALSE)),"Lipsă","OK")</f>
        <v>OK</v>
      </c>
    </row>
    <row r="49" spans="1:13">
      <c r="A49">
        <v>1048</v>
      </c>
      <c r="B49">
        <v>30</v>
      </c>
      <c r="C49" t="s">
        <v>348</v>
      </c>
      <c r="D49">
        <v>9207.06</v>
      </c>
      <c r="E49" s="2">
        <v>44365</v>
      </c>
      <c r="G49" t="str">
        <f t="shared" si="2"/>
        <v>OK</v>
      </c>
      <c r="H49" t="str">
        <f t="shared" si="0"/>
        <v>OK</v>
      </c>
      <c r="K49" t="str">
        <f t="shared" si="1"/>
        <v>Outside</v>
      </c>
      <c r="M49" t="str">
        <f>IF(ISNA(VLOOKUP(B49,Clienti!A:A,1,FALSE)),"Lipsă","OK")</f>
        <v>OK</v>
      </c>
    </row>
    <row r="50" spans="1:13">
      <c r="A50">
        <v>1049</v>
      </c>
      <c r="B50">
        <v>31</v>
      </c>
      <c r="C50" t="s">
        <v>348</v>
      </c>
      <c r="D50">
        <v>26496.84</v>
      </c>
      <c r="E50" s="2">
        <v>44887</v>
      </c>
      <c r="G50" t="str">
        <f t="shared" si="2"/>
        <v>OK</v>
      </c>
      <c r="H50" t="str">
        <f t="shared" si="0"/>
        <v>OK</v>
      </c>
      <c r="K50" t="str">
        <f t="shared" si="1"/>
        <v>OK</v>
      </c>
      <c r="M50" t="str">
        <f>IF(ISNA(VLOOKUP(B50,Clienti!A:A,1,FALSE)),"Lipsă","OK")</f>
        <v>OK</v>
      </c>
    </row>
    <row r="51" spans="1:13">
      <c r="A51">
        <v>1050</v>
      </c>
      <c r="B51">
        <v>31</v>
      </c>
      <c r="C51" t="s">
        <v>349</v>
      </c>
      <c r="D51">
        <v>34720.54</v>
      </c>
      <c r="E51" s="2">
        <v>44248</v>
      </c>
      <c r="G51" t="str">
        <f t="shared" si="2"/>
        <v>OK</v>
      </c>
      <c r="H51" t="str">
        <f t="shared" si="0"/>
        <v>OK</v>
      </c>
      <c r="K51" t="str">
        <f t="shared" si="1"/>
        <v>Outside</v>
      </c>
      <c r="M51" t="str">
        <f>IF(ISNA(VLOOKUP(B51,Clienti!A:A,1,FALSE)),"Lipsă","OK")</f>
        <v>OK</v>
      </c>
    </row>
    <row r="52" spans="1:13">
      <c r="A52">
        <v>1051</v>
      </c>
      <c r="B52">
        <v>31</v>
      </c>
      <c r="C52" t="s">
        <v>349</v>
      </c>
      <c r="D52">
        <v>47747.35</v>
      </c>
      <c r="E52" s="2">
        <v>43761</v>
      </c>
      <c r="G52" t="str">
        <f t="shared" si="2"/>
        <v>OK</v>
      </c>
      <c r="H52" t="str">
        <f t="shared" si="0"/>
        <v>OK</v>
      </c>
      <c r="K52" t="str">
        <f t="shared" si="1"/>
        <v>Outside</v>
      </c>
      <c r="M52" t="str">
        <f>IF(ISNA(VLOOKUP(B52,Clienti!A:A,1,FALSE)),"Lipsă","OK")</f>
        <v>OK</v>
      </c>
    </row>
    <row r="53" spans="1:13">
      <c r="A53">
        <v>1052</v>
      </c>
      <c r="B53">
        <v>32</v>
      </c>
      <c r="C53" t="s">
        <v>349</v>
      </c>
      <c r="D53">
        <v>7701.95</v>
      </c>
      <c r="E53" s="2">
        <v>43437</v>
      </c>
      <c r="G53" t="str">
        <f t="shared" si="2"/>
        <v>OK</v>
      </c>
      <c r="H53" t="str">
        <f t="shared" si="0"/>
        <v>OK</v>
      </c>
      <c r="K53" t="str">
        <f t="shared" si="1"/>
        <v>Outside</v>
      </c>
      <c r="M53" t="str">
        <f>IF(ISNA(VLOOKUP(B53,Clienti!A:A,1,FALSE)),"Lipsă","OK")</f>
        <v>OK</v>
      </c>
    </row>
    <row r="54" spans="1:13">
      <c r="A54">
        <v>1053</v>
      </c>
      <c r="B54">
        <v>32</v>
      </c>
      <c r="C54" t="s">
        <v>349</v>
      </c>
      <c r="D54">
        <v>15425.7</v>
      </c>
      <c r="E54" s="2">
        <v>44191</v>
      </c>
      <c r="G54" t="str">
        <f t="shared" si="2"/>
        <v>OK</v>
      </c>
      <c r="H54" t="str">
        <f t="shared" si="0"/>
        <v>OK</v>
      </c>
      <c r="K54" t="str">
        <f t="shared" si="1"/>
        <v>Outside</v>
      </c>
      <c r="M54" t="str">
        <f>IF(ISNA(VLOOKUP(B54,Clienti!A:A,1,FALSE)),"Lipsă","OK")</f>
        <v>OK</v>
      </c>
    </row>
    <row r="55" spans="1:13">
      <c r="A55">
        <v>1054</v>
      </c>
      <c r="B55">
        <v>32</v>
      </c>
      <c r="C55" t="s">
        <v>349</v>
      </c>
      <c r="D55">
        <v>2809.24</v>
      </c>
      <c r="E55" s="2">
        <v>44406</v>
      </c>
      <c r="G55" t="str">
        <f t="shared" si="2"/>
        <v>OK</v>
      </c>
      <c r="H55" t="str">
        <f t="shared" si="0"/>
        <v>OK</v>
      </c>
      <c r="K55" t="str">
        <f t="shared" si="1"/>
        <v>Outside</v>
      </c>
      <c r="M55" t="str">
        <f>IF(ISNA(VLOOKUP(B55,Clienti!A:A,1,FALSE)),"Lipsă","OK")</f>
        <v>OK</v>
      </c>
    </row>
    <row r="56" spans="1:13">
      <c r="A56">
        <v>1055</v>
      </c>
      <c r="B56">
        <v>33</v>
      </c>
      <c r="C56" t="s">
        <v>348</v>
      </c>
      <c r="D56">
        <v>46047.81</v>
      </c>
      <c r="E56" s="2">
        <v>44881</v>
      </c>
      <c r="G56" t="str">
        <f t="shared" si="2"/>
        <v>OK</v>
      </c>
      <c r="H56" t="str">
        <f t="shared" si="0"/>
        <v>OK</v>
      </c>
      <c r="K56" t="str">
        <f t="shared" si="1"/>
        <v>OK</v>
      </c>
      <c r="M56" t="str">
        <f>IF(ISNA(VLOOKUP(B56,Clienti!A:A,1,FALSE)),"Lipsă","OK")</f>
        <v>OK</v>
      </c>
    </row>
    <row r="57" spans="1:13">
      <c r="A57">
        <v>1056</v>
      </c>
      <c r="B57">
        <v>34</v>
      </c>
      <c r="C57" t="s">
        <v>349</v>
      </c>
      <c r="D57">
        <v>11353.77</v>
      </c>
      <c r="E57" s="2">
        <v>44219</v>
      </c>
      <c r="G57" t="str">
        <f t="shared" si="2"/>
        <v>OK</v>
      </c>
      <c r="H57" t="str">
        <f t="shared" si="0"/>
        <v>OK</v>
      </c>
      <c r="K57" t="str">
        <f t="shared" si="1"/>
        <v>Outside</v>
      </c>
      <c r="M57" t="str">
        <f>IF(ISNA(VLOOKUP(B57,Clienti!A:A,1,FALSE)),"Lipsă","OK")</f>
        <v>OK</v>
      </c>
    </row>
    <row r="58" spans="1:13">
      <c r="A58">
        <v>1057</v>
      </c>
      <c r="B58">
        <v>34</v>
      </c>
      <c r="C58" t="s">
        <v>348</v>
      </c>
      <c r="D58">
        <v>20224.62</v>
      </c>
      <c r="E58" s="2">
        <v>44224</v>
      </c>
      <c r="G58" t="str">
        <f t="shared" si="2"/>
        <v>OK</v>
      </c>
      <c r="H58" t="str">
        <f t="shared" si="0"/>
        <v>OK</v>
      </c>
      <c r="K58" t="str">
        <f t="shared" si="1"/>
        <v>Outside</v>
      </c>
      <c r="M58" t="str">
        <f>IF(ISNA(VLOOKUP(B58,Clienti!A:A,1,FALSE)),"Lipsă","OK")</f>
        <v>OK</v>
      </c>
    </row>
    <row r="59" spans="1:13">
      <c r="A59">
        <v>1058</v>
      </c>
      <c r="B59">
        <v>35</v>
      </c>
      <c r="C59" t="s">
        <v>348</v>
      </c>
      <c r="D59">
        <v>15292.37</v>
      </c>
      <c r="E59" s="2">
        <v>44630</v>
      </c>
      <c r="G59" t="str">
        <f t="shared" si="2"/>
        <v>OK</v>
      </c>
      <c r="H59" t="str">
        <f t="shared" si="0"/>
        <v>OK</v>
      </c>
      <c r="K59" t="str">
        <f t="shared" si="1"/>
        <v>OK</v>
      </c>
      <c r="M59" t="str">
        <f>IF(ISNA(VLOOKUP(B59,Clienti!A:A,1,FALSE)),"Lipsă","OK")</f>
        <v>OK</v>
      </c>
    </row>
    <row r="60" spans="1:13">
      <c r="A60">
        <v>1059</v>
      </c>
      <c r="B60">
        <v>35</v>
      </c>
      <c r="C60" t="s">
        <v>349</v>
      </c>
      <c r="D60">
        <v>40625</v>
      </c>
      <c r="E60" s="2">
        <v>44782</v>
      </c>
      <c r="G60" t="str">
        <f t="shared" si="2"/>
        <v>OK</v>
      </c>
      <c r="H60" t="str">
        <f t="shared" si="0"/>
        <v>OK</v>
      </c>
      <c r="K60" t="str">
        <f t="shared" si="1"/>
        <v>OK</v>
      </c>
      <c r="M60" t="str">
        <f>IF(ISNA(VLOOKUP(B60,Clienti!A:A,1,FALSE)),"Lipsă","OK")</f>
        <v>OK</v>
      </c>
    </row>
    <row r="61" spans="1:13">
      <c r="A61">
        <v>1060</v>
      </c>
      <c r="B61">
        <v>36</v>
      </c>
      <c r="C61" t="s">
        <v>348</v>
      </c>
      <c r="D61">
        <v>24521.98</v>
      </c>
      <c r="E61" s="2">
        <v>44202</v>
      </c>
      <c r="G61" t="str">
        <f t="shared" si="2"/>
        <v>OK</v>
      </c>
      <c r="H61" t="str">
        <f t="shared" si="0"/>
        <v>OK</v>
      </c>
      <c r="K61" t="str">
        <f t="shared" si="1"/>
        <v>Outside</v>
      </c>
      <c r="M61" t="str">
        <f>IF(ISNA(VLOOKUP(B61,Clienti!A:A,1,FALSE)),"Lipsă","OK")</f>
        <v>OK</v>
      </c>
    </row>
    <row r="62" spans="1:13">
      <c r="A62">
        <v>1061</v>
      </c>
      <c r="B62">
        <v>36</v>
      </c>
      <c r="C62" t="s">
        <v>348</v>
      </c>
      <c r="D62">
        <v>48966.42</v>
      </c>
      <c r="E62" s="2">
        <v>43300</v>
      </c>
      <c r="G62" t="str">
        <f t="shared" si="2"/>
        <v>OK</v>
      </c>
      <c r="H62" t="str">
        <f t="shared" si="0"/>
        <v>OK</v>
      </c>
      <c r="K62" t="str">
        <f t="shared" si="1"/>
        <v>Outside</v>
      </c>
      <c r="M62" t="str">
        <f>IF(ISNA(VLOOKUP(B62,Clienti!A:A,1,FALSE)),"Lipsă","OK")</f>
        <v>OK</v>
      </c>
    </row>
    <row r="63" spans="1:13">
      <c r="A63">
        <v>1062</v>
      </c>
      <c r="B63">
        <v>36</v>
      </c>
      <c r="C63" t="s">
        <v>348</v>
      </c>
      <c r="D63">
        <v>33456.559999999998</v>
      </c>
      <c r="E63" s="2">
        <v>44100</v>
      </c>
      <c r="G63" t="str">
        <f t="shared" si="2"/>
        <v>OK</v>
      </c>
      <c r="H63" t="str">
        <f t="shared" si="0"/>
        <v>OK</v>
      </c>
      <c r="K63" t="str">
        <f t="shared" si="1"/>
        <v>Outside</v>
      </c>
      <c r="M63" t="str">
        <f>IF(ISNA(VLOOKUP(B63,Clienti!A:A,1,FALSE)),"Lipsă","OK")</f>
        <v>OK</v>
      </c>
    </row>
    <row r="64" spans="1:13">
      <c r="A64">
        <v>1063</v>
      </c>
      <c r="B64">
        <v>37</v>
      </c>
      <c r="C64" t="s">
        <v>349</v>
      </c>
      <c r="D64">
        <v>33101.269999999997</v>
      </c>
      <c r="E64" s="2">
        <v>43910</v>
      </c>
      <c r="G64" t="str">
        <f t="shared" si="2"/>
        <v>OK</v>
      </c>
      <c r="H64" t="str">
        <f t="shared" si="0"/>
        <v>OK</v>
      </c>
      <c r="K64" t="str">
        <f t="shared" si="1"/>
        <v>Outside</v>
      </c>
      <c r="M64" t="str">
        <f>IF(ISNA(VLOOKUP(B64,Clienti!A:A,1,FALSE)),"Lipsă","OK")</f>
        <v>OK</v>
      </c>
    </row>
    <row r="65" spans="1:13">
      <c r="A65">
        <v>1064</v>
      </c>
      <c r="B65">
        <v>38</v>
      </c>
      <c r="C65" t="s">
        <v>348</v>
      </c>
      <c r="D65">
        <v>39321.06</v>
      </c>
      <c r="E65" s="2">
        <v>43607</v>
      </c>
      <c r="G65" t="str">
        <f t="shared" si="2"/>
        <v>OK</v>
      </c>
      <c r="H65" t="str">
        <f t="shared" si="0"/>
        <v>OK</v>
      </c>
      <c r="K65" t="str">
        <f t="shared" si="1"/>
        <v>Outside</v>
      </c>
      <c r="M65" t="str">
        <f>IF(ISNA(VLOOKUP(B65,Clienti!A:A,1,FALSE)),"Lipsă","OK")</f>
        <v>OK</v>
      </c>
    </row>
    <row r="66" spans="1:13">
      <c r="A66">
        <v>1065</v>
      </c>
      <c r="B66">
        <v>39</v>
      </c>
      <c r="C66" t="s">
        <v>348</v>
      </c>
      <c r="D66">
        <v>46351.6</v>
      </c>
      <c r="E66" s="2">
        <v>44582</v>
      </c>
      <c r="G66" t="str">
        <f t="shared" si="2"/>
        <v>OK</v>
      </c>
      <c r="H66" t="str">
        <f t="shared" si="0"/>
        <v>OK</v>
      </c>
      <c r="K66" t="str">
        <f t="shared" si="1"/>
        <v>OK</v>
      </c>
      <c r="M66" t="str">
        <f>IF(ISNA(VLOOKUP(B66,Clienti!A:A,1,FALSE)),"Lipsă","OK")</f>
        <v>OK</v>
      </c>
    </row>
    <row r="67" spans="1:13">
      <c r="A67">
        <v>1066</v>
      </c>
      <c r="B67">
        <v>40</v>
      </c>
      <c r="C67" t="s">
        <v>348</v>
      </c>
      <c r="D67">
        <v>18906.650000000001</v>
      </c>
      <c r="E67" s="2">
        <v>44587</v>
      </c>
      <c r="G67" t="str">
        <f t="shared" ref="G67:G130" si="3">IF(D67&lt;0,"Greșit","OK")</f>
        <v>OK</v>
      </c>
      <c r="H67" t="str">
        <f t="shared" ref="H67:H130" si="4">IF(ISBLANK(B67),"Lipsă","OK")</f>
        <v>OK</v>
      </c>
      <c r="K67" t="str">
        <f t="shared" ref="K67:K130" si="5">IF(AND(E67&gt;=DATE(2022,1,1),E67&lt;=DATE(2023,12,31)),"OK","Outside")</f>
        <v>OK</v>
      </c>
      <c r="M67" t="str">
        <f>IF(ISNA(VLOOKUP(B67,Clienti!A:A,1,FALSE)),"Lipsă","OK")</f>
        <v>OK</v>
      </c>
    </row>
    <row r="68" spans="1:13">
      <c r="A68">
        <v>1067</v>
      </c>
      <c r="B68">
        <v>40</v>
      </c>
      <c r="C68" t="s">
        <v>349</v>
      </c>
      <c r="D68">
        <v>43634.13</v>
      </c>
      <c r="E68" s="2">
        <v>44891</v>
      </c>
      <c r="G68" t="str">
        <f t="shared" si="3"/>
        <v>OK</v>
      </c>
      <c r="H68" t="str">
        <f t="shared" si="4"/>
        <v>OK</v>
      </c>
      <c r="K68" t="str">
        <f t="shared" si="5"/>
        <v>OK</v>
      </c>
      <c r="M68" t="str">
        <f>IF(ISNA(VLOOKUP(B68,Clienti!A:A,1,FALSE)),"Lipsă","OK")</f>
        <v>OK</v>
      </c>
    </row>
    <row r="69" spans="1:13">
      <c r="A69">
        <v>1068</v>
      </c>
      <c r="B69">
        <v>40</v>
      </c>
      <c r="C69" t="s">
        <v>349</v>
      </c>
      <c r="D69">
        <v>27399.17</v>
      </c>
      <c r="E69" s="2">
        <v>44138</v>
      </c>
      <c r="G69" t="str">
        <f t="shared" si="3"/>
        <v>OK</v>
      </c>
      <c r="H69" t="str">
        <f t="shared" si="4"/>
        <v>OK</v>
      </c>
      <c r="K69" t="str">
        <f t="shared" si="5"/>
        <v>Outside</v>
      </c>
      <c r="M69" t="str">
        <f>IF(ISNA(VLOOKUP(B69,Clienti!A:A,1,FALSE)),"Lipsă","OK")</f>
        <v>OK</v>
      </c>
    </row>
    <row r="70" spans="1:13">
      <c r="A70">
        <v>1069</v>
      </c>
      <c r="B70">
        <v>41</v>
      </c>
      <c r="C70" t="s">
        <v>349</v>
      </c>
      <c r="D70">
        <v>23969.75</v>
      </c>
      <c r="E70" s="2">
        <v>44221</v>
      </c>
      <c r="G70" t="str">
        <f t="shared" si="3"/>
        <v>OK</v>
      </c>
      <c r="H70" t="str">
        <f t="shared" si="4"/>
        <v>OK</v>
      </c>
      <c r="K70" t="str">
        <f t="shared" si="5"/>
        <v>Outside</v>
      </c>
      <c r="M70" t="str">
        <f>IF(ISNA(VLOOKUP(B70,Clienti!A:A,1,FALSE)),"Lipsă","OK")</f>
        <v>OK</v>
      </c>
    </row>
    <row r="71" spans="1:13">
      <c r="A71">
        <v>1070</v>
      </c>
      <c r="B71">
        <v>41</v>
      </c>
      <c r="C71" t="s">
        <v>349</v>
      </c>
      <c r="D71">
        <v>44432.73</v>
      </c>
      <c r="E71" s="2">
        <v>44838</v>
      </c>
      <c r="G71" t="str">
        <f t="shared" si="3"/>
        <v>OK</v>
      </c>
      <c r="H71" t="str">
        <f t="shared" si="4"/>
        <v>OK</v>
      </c>
      <c r="K71" t="str">
        <f t="shared" si="5"/>
        <v>OK</v>
      </c>
      <c r="M71" t="str">
        <f>IF(ISNA(VLOOKUP(B71,Clienti!A:A,1,FALSE)),"Lipsă","OK")</f>
        <v>OK</v>
      </c>
    </row>
    <row r="72" spans="1:13">
      <c r="A72">
        <v>1071</v>
      </c>
      <c r="B72">
        <v>41</v>
      </c>
      <c r="C72" t="s">
        <v>348</v>
      </c>
      <c r="D72">
        <v>24482.48</v>
      </c>
      <c r="E72" s="2">
        <v>43214</v>
      </c>
      <c r="G72" t="str">
        <f t="shared" si="3"/>
        <v>OK</v>
      </c>
      <c r="H72" t="str">
        <f t="shared" si="4"/>
        <v>OK</v>
      </c>
      <c r="K72" t="str">
        <f t="shared" si="5"/>
        <v>Outside</v>
      </c>
      <c r="M72" t="str">
        <f>IF(ISNA(VLOOKUP(B72,Clienti!A:A,1,FALSE)),"Lipsă","OK")</f>
        <v>OK</v>
      </c>
    </row>
    <row r="73" spans="1:13">
      <c r="A73">
        <v>1072</v>
      </c>
      <c r="B73">
        <v>42</v>
      </c>
      <c r="C73" t="s">
        <v>349</v>
      </c>
      <c r="D73">
        <v>16082.98</v>
      </c>
      <c r="E73" s="2">
        <v>44108</v>
      </c>
      <c r="G73" t="str">
        <f t="shared" si="3"/>
        <v>OK</v>
      </c>
      <c r="H73" t="str">
        <f t="shared" si="4"/>
        <v>OK</v>
      </c>
      <c r="K73" t="str">
        <f t="shared" si="5"/>
        <v>Outside</v>
      </c>
      <c r="M73" t="str">
        <f>IF(ISNA(VLOOKUP(B73,Clienti!A:A,1,FALSE)),"Lipsă","OK")</f>
        <v>OK</v>
      </c>
    </row>
    <row r="74" spans="1:13">
      <c r="A74">
        <v>1073</v>
      </c>
      <c r="B74">
        <v>43</v>
      </c>
      <c r="C74" t="s">
        <v>349</v>
      </c>
      <c r="D74">
        <v>15222.54</v>
      </c>
      <c r="E74" s="2">
        <v>43251</v>
      </c>
      <c r="G74" t="str">
        <f t="shared" si="3"/>
        <v>OK</v>
      </c>
      <c r="H74" t="str">
        <f t="shared" si="4"/>
        <v>OK</v>
      </c>
      <c r="K74" t="str">
        <f t="shared" si="5"/>
        <v>Outside</v>
      </c>
      <c r="M74" t="str">
        <f>IF(ISNA(VLOOKUP(B74,Clienti!A:A,1,FALSE)),"Lipsă","OK")</f>
        <v>OK</v>
      </c>
    </row>
    <row r="75" spans="1:13">
      <c r="A75">
        <v>1074</v>
      </c>
      <c r="B75">
        <v>43</v>
      </c>
      <c r="C75" t="s">
        <v>349</v>
      </c>
      <c r="D75">
        <v>11115.95</v>
      </c>
      <c r="E75" s="2">
        <v>44231</v>
      </c>
      <c r="G75" t="str">
        <f t="shared" si="3"/>
        <v>OK</v>
      </c>
      <c r="H75" t="str">
        <f t="shared" si="4"/>
        <v>OK</v>
      </c>
      <c r="K75" t="str">
        <f t="shared" si="5"/>
        <v>Outside</v>
      </c>
      <c r="M75" t="str">
        <f>IF(ISNA(VLOOKUP(B75,Clienti!A:A,1,FALSE)),"Lipsă","OK")</f>
        <v>OK</v>
      </c>
    </row>
    <row r="76" spans="1:13">
      <c r="A76">
        <v>1075</v>
      </c>
      <c r="B76">
        <v>43</v>
      </c>
      <c r="C76" t="s">
        <v>349</v>
      </c>
      <c r="D76">
        <v>24789.040000000001</v>
      </c>
      <c r="E76" s="2">
        <v>44619</v>
      </c>
      <c r="G76" t="str">
        <f t="shared" si="3"/>
        <v>OK</v>
      </c>
      <c r="H76" t="str">
        <f t="shared" si="4"/>
        <v>OK</v>
      </c>
      <c r="K76" t="str">
        <f t="shared" si="5"/>
        <v>OK</v>
      </c>
      <c r="M76" t="str">
        <f>IF(ISNA(VLOOKUP(B76,Clienti!A:A,1,FALSE)),"Lipsă","OK")</f>
        <v>OK</v>
      </c>
    </row>
    <row r="77" spans="1:13">
      <c r="A77">
        <v>1076</v>
      </c>
      <c r="B77">
        <v>44</v>
      </c>
      <c r="C77" t="s">
        <v>348</v>
      </c>
      <c r="D77">
        <v>5015.8999999999996</v>
      </c>
      <c r="E77" s="2">
        <v>44222</v>
      </c>
      <c r="G77" t="str">
        <f t="shared" si="3"/>
        <v>OK</v>
      </c>
      <c r="H77" t="str">
        <f t="shared" si="4"/>
        <v>OK</v>
      </c>
      <c r="K77" t="str">
        <f t="shared" si="5"/>
        <v>Outside</v>
      </c>
      <c r="M77" t="str">
        <f>IF(ISNA(VLOOKUP(B77,Clienti!A:A,1,FALSE)),"Lipsă","OK")</f>
        <v>OK</v>
      </c>
    </row>
    <row r="78" spans="1:13">
      <c r="A78">
        <v>1077</v>
      </c>
      <c r="B78">
        <v>44</v>
      </c>
      <c r="C78" t="s">
        <v>349</v>
      </c>
      <c r="D78">
        <v>12337.64</v>
      </c>
      <c r="E78" s="2">
        <v>44356</v>
      </c>
      <c r="G78" t="str">
        <f t="shared" si="3"/>
        <v>OK</v>
      </c>
      <c r="H78" t="str">
        <f t="shared" si="4"/>
        <v>OK</v>
      </c>
      <c r="K78" t="str">
        <f t="shared" si="5"/>
        <v>Outside</v>
      </c>
      <c r="M78" t="str">
        <f>IF(ISNA(VLOOKUP(B78,Clienti!A:A,1,FALSE)),"Lipsă","OK")</f>
        <v>OK</v>
      </c>
    </row>
    <row r="79" spans="1:13">
      <c r="A79">
        <v>1078</v>
      </c>
      <c r="B79">
        <v>45</v>
      </c>
      <c r="C79" t="s">
        <v>348</v>
      </c>
      <c r="D79">
        <v>3237.04</v>
      </c>
      <c r="E79" s="2">
        <v>44627</v>
      </c>
      <c r="G79" t="str">
        <f t="shared" si="3"/>
        <v>OK</v>
      </c>
      <c r="H79" t="str">
        <f t="shared" si="4"/>
        <v>OK</v>
      </c>
      <c r="K79" t="str">
        <f t="shared" si="5"/>
        <v>OK</v>
      </c>
      <c r="M79" t="str">
        <f>IF(ISNA(VLOOKUP(B79,Clienti!A:A,1,FALSE)),"Lipsă","OK")</f>
        <v>OK</v>
      </c>
    </row>
    <row r="80" spans="1:13">
      <c r="A80">
        <v>1079</v>
      </c>
      <c r="B80">
        <v>45</v>
      </c>
      <c r="C80" t="s">
        <v>348</v>
      </c>
      <c r="D80">
        <v>33088.35</v>
      </c>
      <c r="E80" s="2">
        <v>44745</v>
      </c>
      <c r="G80" t="str">
        <f t="shared" si="3"/>
        <v>OK</v>
      </c>
      <c r="H80" t="str">
        <f t="shared" si="4"/>
        <v>OK</v>
      </c>
      <c r="K80" t="str">
        <f t="shared" si="5"/>
        <v>OK</v>
      </c>
      <c r="M80" t="str">
        <f>IF(ISNA(VLOOKUP(B80,Clienti!A:A,1,FALSE)),"Lipsă","OK")</f>
        <v>OK</v>
      </c>
    </row>
    <row r="81" spans="1:13">
      <c r="A81">
        <v>1080</v>
      </c>
      <c r="B81">
        <v>46</v>
      </c>
      <c r="C81" t="s">
        <v>349</v>
      </c>
      <c r="D81">
        <v>29585.64</v>
      </c>
      <c r="E81" s="2">
        <v>44862</v>
      </c>
      <c r="G81" t="str">
        <f t="shared" si="3"/>
        <v>OK</v>
      </c>
      <c r="H81" t="str">
        <f t="shared" si="4"/>
        <v>OK</v>
      </c>
      <c r="K81" t="str">
        <f t="shared" si="5"/>
        <v>OK</v>
      </c>
      <c r="M81" t="str">
        <f>IF(ISNA(VLOOKUP(B81,Clienti!A:A,1,FALSE)),"Lipsă","OK")</f>
        <v>OK</v>
      </c>
    </row>
    <row r="82" spans="1:13">
      <c r="A82">
        <v>1081</v>
      </c>
      <c r="B82">
        <v>46</v>
      </c>
      <c r="C82" t="s">
        <v>349</v>
      </c>
      <c r="D82">
        <v>33855.22</v>
      </c>
      <c r="E82" s="2">
        <v>44492</v>
      </c>
      <c r="G82" t="str">
        <f t="shared" si="3"/>
        <v>OK</v>
      </c>
      <c r="H82" t="str">
        <f t="shared" si="4"/>
        <v>OK</v>
      </c>
      <c r="K82" t="str">
        <f t="shared" si="5"/>
        <v>Outside</v>
      </c>
      <c r="M82" t="str">
        <f>IF(ISNA(VLOOKUP(B82,Clienti!A:A,1,FALSE)),"Lipsă","OK")</f>
        <v>OK</v>
      </c>
    </row>
    <row r="83" spans="1:13">
      <c r="A83">
        <v>1082</v>
      </c>
      <c r="B83">
        <v>47</v>
      </c>
      <c r="C83" t="s">
        <v>349</v>
      </c>
      <c r="D83">
        <v>8317.2000000000007</v>
      </c>
      <c r="E83" s="2">
        <v>44868</v>
      </c>
      <c r="G83" t="str">
        <f t="shared" si="3"/>
        <v>OK</v>
      </c>
      <c r="H83" t="str">
        <f t="shared" si="4"/>
        <v>OK</v>
      </c>
      <c r="K83" t="str">
        <f t="shared" si="5"/>
        <v>OK</v>
      </c>
      <c r="M83" t="str">
        <f>IF(ISNA(VLOOKUP(B83,Clienti!A:A,1,FALSE)),"Lipsă","OK")</f>
        <v>OK</v>
      </c>
    </row>
    <row r="84" spans="1:13">
      <c r="A84">
        <v>1083</v>
      </c>
      <c r="B84">
        <v>48</v>
      </c>
      <c r="C84" t="s">
        <v>348</v>
      </c>
      <c r="D84">
        <v>35070.79</v>
      </c>
      <c r="E84" s="2">
        <v>44012</v>
      </c>
      <c r="G84" t="str">
        <f t="shared" si="3"/>
        <v>OK</v>
      </c>
      <c r="H84" t="str">
        <f t="shared" si="4"/>
        <v>OK</v>
      </c>
      <c r="K84" t="str">
        <f t="shared" si="5"/>
        <v>Outside</v>
      </c>
      <c r="M84" t="str">
        <f>IF(ISNA(VLOOKUP(B84,Clienti!A:A,1,FALSE)),"Lipsă","OK")</f>
        <v>OK</v>
      </c>
    </row>
    <row r="85" spans="1:13">
      <c r="A85">
        <v>1084</v>
      </c>
      <c r="B85">
        <v>48</v>
      </c>
      <c r="C85" t="s">
        <v>348</v>
      </c>
      <c r="D85">
        <v>5324.97</v>
      </c>
      <c r="E85" s="2">
        <v>44222</v>
      </c>
      <c r="G85" t="str">
        <f t="shared" si="3"/>
        <v>OK</v>
      </c>
      <c r="H85" t="str">
        <f t="shared" si="4"/>
        <v>OK</v>
      </c>
      <c r="K85" t="str">
        <f t="shared" si="5"/>
        <v>Outside</v>
      </c>
      <c r="M85" t="str">
        <f>IF(ISNA(VLOOKUP(B85,Clienti!A:A,1,FALSE)),"Lipsă","OK")</f>
        <v>OK</v>
      </c>
    </row>
    <row r="86" spans="1:13">
      <c r="A86">
        <v>1085</v>
      </c>
      <c r="B86">
        <v>48</v>
      </c>
      <c r="C86" t="s">
        <v>349</v>
      </c>
      <c r="D86">
        <v>1307.98</v>
      </c>
      <c r="E86" s="2">
        <v>44170</v>
      </c>
      <c r="G86" t="str">
        <f t="shared" si="3"/>
        <v>OK</v>
      </c>
      <c r="H86" t="str">
        <f t="shared" si="4"/>
        <v>OK</v>
      </c>
      <c r="K86" t="str">
        <f t="shared" si="5"/>
        <v>Outside</v>
      </c>
      <c r="M86" t="str">
        <f>IF(ISNA(VLOOKUP(B86,Clienti!A:A,1,FALSE)),"Lipsă","OK")</f>
        <v>OK</v>
      </c>
    </row>
    <row r="87" spans="1:13">
      <c r="A87">
        <v>1086</v>
      </c>
      <c r="B87">
        <v>49</v>
      </c>
      <c r="C87" t="s">
        <v>348</v>
      </c>
      <c r="D87">
        <v>9388.6299999999992</v>
      </c>
      <c r="E87" s="2">
        <v>43144</v>
      </c>
      <c r="G87" t="str">
        <f t="shared" si="3"/>
        <v>OK</v>
      </c>
      <c r="H87" t="str">
        <f t="shared" si="4"/>
        <v>OK</v>
      </c>
      <c r="K87" t="str">
        <f t="shared" si="5"/>
        <v>Outside</v>
      </c>
      <c r="M87" t="str">
        <f>IF(ISNA(VLOOKUP(B87,Clienti!A:A,1,FALSE)),"Lipsă","OK")</f>
        <v>OK</v>
      </c>
    </row>
    <row r="88" spans="1:13">
      <c r="A88">
        <v>1087</v>
      </c>
      <c r="B88">
        <v>49</v>
      </c>
      <c r="C88" t="s">
        <v>348</v>
      </c>
      <c r="D88">
        <v>13741.48</v>
      </c>
      <c r="E88" s="2">
        <v>43554</v>
      </c>
      <c r="G88" t="str">
        <f t="shared" si="3"/>
        <v>OK</v>
      </c>
      <c r="H88" t="str">
        <f t="shared" si="4"/>
        <v>OK</v>
      </c>
      <c r="K88" t="str">
        <f t="shared" si="5"/>
        <v>Outside</v>
      </c>
      <c r="M88" t="str">
        <f>IF(ISNA(VLOOKUP(B88,Clienti!A:A,1,FALSE)),"Lipsă","OK")</f>
        <v>OK</v>
      </c>
    </row>
    <row r="89" spans="1:13">
      <c r="A89">
        <v>1088</v>
      </c>
      <c r="B89">
        <v>49</v>
      </c>
      <c r="C89" t="s">
        <v>349</v>
      </c>
      <c r="D89">
        <v>7788.41</v>
      </c>
      <c r="E89" s="2">
        <v>43801</v>
      </c>
      <c r="G89" t="str">
        <f t="shared" si="3"/>
        <v>OK</v>
      </c>
      <c r="H89" t="str">
        <f t="shared" si="4"/>
        <v>OK</v>
      </c>
      <c r="K89" t="str">
        <f t="shared" si="5"/>
        <v>Outside</v>
      </c>
      <c r="M89" t="str">
        <f>IF(ISNA(VLOOKUP(B89,Clienti!A:A,1,FALSE)),"Lipsă","OK")</f>
        <v>OK</v>
      </c>
    </row>
    <row r="90" spans="1:13">
      <c r="A90">
        <v>1089</v>
      </c>
      <c r="B90">
        <v>50</v>
      </c>
      <c r="C90" t="s">
        <v>348</v>
      </c>
      <c r="D90">
        <v>46859.98</v>
      </c>
      <c r="E90" s="2">
        <v>44604</v>
      </c>
      <c r="G90" t="str">
        <f t="shared" si="3"/>
        <v>OK</v>
      </c>
      <c r="H90" t="str">
        <f t="shared" si="4"/>
        <v>OK</v>
      </c>
      <c r="K90" t="str">
        <f t="shared" si="5"/>
        <v>OK</v>
      </c>
      <c r="M90" t="str">
        <f>IF(ISNA(VLOOKUP(B90,Clienti!A:A,1,FALSE)),"Lipsă","OK")</f>
        <v>OK</v>
      </c>
    </row>
    <row r="91" spans="1:13">
      <c r="A91">
        <v>1090</v>
      </c>
      <c r="B91">
        <v>51</v>
      </c>
      <c r="C91" t="s">
        <v>349</v>
      </c>
      <c r="D91">
        <v>46346.82</v>
      </c>
      <c r="E91" s="2">
        <v>44837</v>
      </c>
      <c r="G91" t="str">
        <f t="shared" si="3"/>
        <v>OK</v>
      </c>
      <c r="H91" t="str">
        <f t="shared" si="4"/>
        <v>OK</v>
      </c>
      <c r="K91" t="str">
        <f t="shared" si="5"/>
        <v>OK</v>
      </c>
      <c r="M91" t="str">
        <f>IF(ISNA(VLOOKUP(B91,Clienti!A:A,1,FALSE)),"Lipsă","OK")</f>
        <v>OK</v>
      </c>
    </row>
    <row r="92" spans="1:13">
      <c r="A92">
        <v>1091</v>
      </c>
      <c r="B92">
        <v>52</v>
      </c>
      <c r="C92" t="s">
        <v>349</v>
      </c>
      <c r="D92">
        <v>39651.440000000002</v>
      </c>
      <c r="E92" s="2">
        <v>43971</v>
      </c>
      <c r="G92" t="str">
        <f t="shared" si="3"/>
        <v>OK</v>
      </c>
      <c r="H92" t="str">
        <f t="shared" si="4"/>
        <v>OK</v>
      </c>
      <c r="K92" t="str">
        <f t="shared" si="5"/>
        <v>Outside</v>
      </c>
      <c r="M92" t="str">
        <f>IF(ISNA(VLOOKUP(B92,Clienti!A:A,1,FALSE)),"Lipsă","OK")</f>
        <v>OK</v>
      </c>
    </row>
    <row r="93" spans="1:13">
      <c r="A93">
        <v>1092</v>
      </c>
      <c r="B93">
        <v>53</v>
      </c>
      <c r="C93" t="s">
        <v>349</v>
      </c>
      <c r="D93">
        <v>10940.98</v>
      </c>
      <c r="E93" s="2">
        <v>43178</v>
      </c>
      <c r="G93" t="str">
        <f t="shared" si="3"/>
        <v>OK</v>
      </c>
      <c r="H93" t="str">
        <f t="shared" si="4"/>
        <v>OK</v>
      </c>
      <c r="K93" t="str">
        <f t="shared" si="5"/>
        <v>Outside</v>
      </c>
      <c r="M93" t="str">
        <f>IF(ISNA(VLOOKUP(B93,Clienti!A:A,1,FALSE)),"Lipsă","OK")</f>
        <v>OK</v>
      </c>
    </row>
    <row r="94" spans="1:13">
      <c r="A94">
        <v>1093</v>
      </c>
      <c r="B94">
        <v>53</v>
      </c>
      <c r="C94" t="s">
        <v>349</v>
      </c>
      <c r="D94">
        <v>49036.72</v>
      </c>
      <c r="E94" s="2">
        <v>43878</v>
      </c>
      <c r="G94" t="str">
        <f t="shared" si="3"/>
        <v>OK</v>
      </c>
      <c r="H94" t="str">
        <f t="shared" si="4"/>
        <v>OK</v>
      </c>
      <c r="K94" t="str">
        <f t="shared" si="5"/>
        <v>Outside</v>
      </c>
      <c r="M94" t="str">
        <f>IF(ISNA(VLOOKUP(B94,Clienti!A:A,1,FALSE)),"Lipsă","OK")</f>
        <v>OK</v>
      </c>
    </row>
    <row r="95" spans="1:13">
      <c r="A95">
        <v>1094</v>
      </c>
      <c r="B95">
        <v>53</v>
      </c>
      <c r="C95" t="s">
        <v>348</v>
      </c>
      <c r="D95">
        <v>3181.14</v>
      </c>
      <c r="E95" s="2">
        <v>44659</v>
      </c>
      <c r="G95" t="str">
        <f t="shared" si="3"/>
        <v>OK</v>
      </c>
      <c r="H95" t="str">
        <f t="shared" si="4"/>
        <v>OK</v>
      </c>
      <c r="K95" t="str">
        <f t="shared" si="5"/>
        <v>OK</v>
      </c>
      <c r="M95" t="str">
        <f>IF(ISNA(VLOOKUP(B95,Clienti!A:A,1,FALSE)),"Lipsă","OK")</f>
        <v>OK</v>
      </c>
    </row>
    <row r="96" spans="1:13">
      <c r="A96">
        <v>1095</v>
      </c>
      <c r="B96">
        <v>54</v>
      </c>
      <c r="C96" t="s">
        <v>349</v>
      </c>
      <c r="D96">
        <v>5909.76</v>
      </c>
      <c r="E96" s="2">
        <v>43341</v>
      </c>
      <c r="G96" t="str">
        <f t="shared" si="3"/>
        <v>OK</v>
      </c>
      <c r="H96" t="str">
        <f t="shared" si="4"/>
        <v>OK</v>
      </c>
      <c r="K96" t="str">
        <f t="shared" si="5"/>
        <v>Outside</v>
      </c>
      <c r="M96" t="str">
        <f>IF(ISNA(VLOOKUP(B96,Clienti!A:A,1,FALSE)),"Lipsă","OK")</f>
        <v>OK</v>
      </c>
    </row>
    <row r="97" spans="1:13">
      <c r="A97">
        <v>1096</v>
      </c>
      <c r="B97">
        <v>54</v>
      </c>
      <c r="C97" t="s">
        <v>348</v>
      </c>
      <c r="D97">
        <v>36683.519999999997</v>
      </c>
      <c r="E97" s="2">
        <v>43954</v>
      </c>
      <c r="G97" t="str">
        <f t="shared" si="3"/>
        <v>OK</v>
      </c>
      <c r="H97" t="str">
        <f t="shared" si="4"/>
        <v>OK</v>
      </c>
      <c r="K97" t="str">
        <f t="shared" si="5"/>
        <v>Outside</v>
      </c>
      <c r="M97" t="str">
        <f>IF(ISNA(VLOOKUP(B97,Clienti!A:A,1,FALSE)),"Lipsă","OK")</f>
        <v>OK</v>
      </c>
    </row>
    <row r="98" spans="1:13">
      <c r="A98">
        <v>1097</v>
      </c>
      <c r="B98">
        <v>55</v>
      </c>
      <c r="C98" t="s">
        <v>348</v>
      </c>
      <c r="D98">
        <v>22383.01</v>
      </c>
      <c r="E98" s="2">
        <v>44546</v>
      </c>
      <c r="G98" t="str">
        <f t="shared" si="3"/>
        <v>OK</v>
      </c>
      <c r="H98" t="str">
        <f t="shared" si="4"/>
        <v>OK</v>
      </c>
      <c r="K98" t="str">
        <f t="shared" si="5"/>
        <v>Outside</v>
      </c>
      <c r="M98" t="str">
        <f>IF(ISNA(VLOOKUP(B98,Clienti!A:A,1,FALSE)),"Lipsă","OK")</f>
        <v>OK</v>
      </c>
    </row>
    <row r="99" spans="1:13">
      <c r="A99">
        <v>1098</v>
      </c>
      <c r="B99">
        <v>55</v>
      </c>
      <c r="C99" t="s">
        <v>348</v>
      </c>
      <c r="D99">
        <v>10417.620000000001</v>
      </c>
      <c r="E99" s="2">
        <v>44209</v>
      </c>
      <c r="G99" t="str">
        <f t="shared" si="3"/>
        <v>OK</v>
      </c>
      <c r="H99" t="str">
        <f t="shared" si="4"/>
        <v>OK</v>
      </c>
      <c r="K99" t="str">
        <f t="shared" si="5"/>
        <v>Outside</v>
      </c>
      <c r="M99" t="str">
        <f>IF(ISNA(VLOOKUP(B99,Clienti!A:A,1,FALSE)),"Lipsă","OK")</f>
        <v>OK</v>
      </c>
    </row>
    <row r="100" spans="1:13">
      <c r="A100">
        <v>1099</v>
      </c>
      <c r="B100">
        <v>55</v>
      </c>
      <c r="C100" t="s">
        <v>348</v>
      </c>
      <c r="D100">
        <v>28565.95</v>
      </c>
      <c r="E100" s="2">
        <v>44097</v>
      </c>
      <c r="G100" t="str">
        <f t="shared" si="3"/>
        <v>OK</v>
      </c>
      <c r="H100" t="str">
        <f t="shared" si="4"/>
        <v>OK</v>
      </c>
      <c r="K100" t="str">
        <f t="shared" si="5"/>
        <v>Outside</v>
      </c>
      <c r="M100" t="str">
        <f>IF(ISNA(VLOOKUP(B100,Clienti!A:A,1,FALSE)),"Lipsă","OK")</f>
        <v>OK</v>
      </c>
    </row>
    <row r="101" spans="1:13">
      <c r="A101">
        <v>1100</v>
      </c>
      <c r="B101">
        <v>56</v>
      </c>
      <c r="C101" t="s">
        <v>348</v>
      </c>
      <c r="D101">
        <v>41074.720000000001</v>
      </c>
      <c r="E101" s="2">
        <v>43457</v>
      </c>
      <c r="G101" t="str">
        <f t="shared" si="3"/>
        <v>OK</v>
      </c>
      <c r="H101" t="str">
        <f t="shared" si="4"/>
        <v>OK</v>
      </c>
      <c r="K101" t="str">
        <f t="shared" si="5"/>
        <v>Outside</v>
      </c>
      <c r="M101" t="str">
        <f>IF(ISNA(VLOOKUP(B101,Clienti!A:A,1,FALSE)),"Lipsă","OK")</f>
        <v>OK</v>
      </c>
    </row>
    <row r="102" spans="1:13">
      <c r="A102">
        <v>1101</v>
      </c>
      <c r="B102">
        <v>56</v>
      </c>
      <c r="C102" t="s">
        <v>349</v>
      </c>
      <c r="D102">
        <v>30463.119999999999</v>
      </c>
      <c r="E102" s="2">
        <v>43209</v>
      </c>
      <c r="G102" t="str">
        <f t="shared" si="3"/>
        <v>OK</v>
      </c>
      <c r="H102" t="str">
        <f t="shared" si="4"/>
        <v>OK</v>
      </c>
      <c r="K102" t="str">
        <f t="shared" si="5"/>
        <v>Outside</v>
      </c>
      <c r="M102" t="str">
        <f>IF(ISNA(VLOOKUP(B102,Clienti!A:A,1,FALSE)),"Lipsă","OK")</f>
        <v>OK</v>
      </c>
    </row>
    <row r="103" spans="1:13">
      <c r="A103">
        <v>1102</v>
      </c>
      <c r="B103">
        <v>57</v>
      </c>
      <c r="C103" t="s">
        <v>348</v>
      </c>
      <c r="D103">
        <v>34622.239999999998</v>
      </c>
      <c r="E103" s="2">
        <v>44294</v>
      </c>
      <c r="G103" t="str">
        <f t="shared" si="3"/>
        <v>OK</v>
      </c>
      <c r="H103" t="str">
        <f t="shared" si="4"/>
        <v>OK</v>
      </c>
      <c r="K103" t="str">
        <f t="shared" si="5"/>
        <v>Outside</v>
      </c>
      <c r="M103" t="str">
        <f>IF(ISNA(VLOOKUP(B103,Clienti!A:A,1,FALSE)),"Lipsă","OK")</f>
        <v>OK</v>
      </c>
    </row>
    <row r="104" spans="1:13">
      <c r="A104">
        <v>1103</v>
      </c>
      <c r="B104">
        <v>57</v>
      </c>
      <c r="C104" t="s">
        <v>349</v>
      </c>
      <c r="D104">
        <v>41235.85</v>
      </c>
      <c r="E104" s="2">
        <v>43624</v>
      </c>
      <c r="G104" t="str">
        <f t="shared" si="3"/>
        <v>OK</v>
      </c>
      <c r="H104" t="str">
        <f t="shared" si="4"/>
        <v>OK</v>
      </c>
      <c r="K104" t="str">
        <f t="shared" si="5"/>
        <v>Outside</v>
      </c>
      <c r="M104" t="str">
        <f>IF(ISNA(VLOOKUP(B104,Clienti!A:A,1,FALSE)),"Lipsă","OK")</f>
        <v>OK</v>
      </c>
    </row>
    <row r="105" spans="1:13">
      <c r="A105">
        <v>1104</v>
      </c>
      <c r="B105">
        <v>58</v>
      </c>
      <c r="C105" t="s">
        <v>349</v>
      </c>
      <c r="D105">
        <v>517.44000000000005</v>
      </c>
      <c r="E105" s="2">
        <v>43308</v>
      </c>
      <c r="G105" t="str">
        <f t="shared" si="3"/>
        <v>OK</v>
      </c>
      <c r="H105" t="str">
        <f t="shared" si="4"/>
        <v>OK</v>
      </c>
      <c r="K105" t="str">
        <f t="shared" si="5"/>
        <v>Outside</v>
      </c>
      <c r="M105" t="str">
        <f>IF(ISNA(VLOOKUP(B105,Clienti!A:A,1,FALSE)),"Lipsă","OK")</f>
        <v>OK</v>
      </c>
    </row>
    <row r="106" spans="1:13">
      <c r="A106">
        <v>1105</v>
      </c>
      <c r="B106">
        <v>58</v>
      </c>
      <c r="C106" t="s">
        <v>348</v>
      </c>
      <c r="D106">
        <v>27333.040000000001</v>
      </c>
      <c r="E106" s="2">
        <v>44263</v>
      </c>
      <c r="G106" t="str">
        <f t="shared" si="3"/>
        <v>OK</v>
      </c>
      <c r="H106" t="str">
        <f t="shared" si="4"/>
        <v>OK</v>
      </c>
      <c r="K106" t="str">
        <f t="shared" si="5"/>
        <v>Outside</v>
      </c>
      <c r="M106" t="str">
        <f>IF(ISNA(VLOOKUP(B106,Clienti!A:A,1,FALSE)),"Lipsă","OK")</f>
        <v>OK</v>
      </c>
    </row>
    <row r="107" spans="1:13">
      <c r="A107">
        <v>1106</v>
      </c>
      <c r="B107">
        <v>59</v>
      </c>
      <c r="C107" t="s">
        <v>349</v>
      </c>
      <c r="D107">
        <v>16906.27</v>
      </c>
      <c r="E107" s="2">
        <v>44381</v>
      </c>
      <c r="G107" t="str">
        <f t="shared" si="3"/>
        <v>OK</v>
      </c>
      <c r="H107" t="str">
        <f t="shared" si="4"/>
        <v>OK</v>
      </c>
      <c r="K107" t="str">
        <f t="shared" si="5"/>
        <v>Outside</v>
      </c>
      <c r="M107" t="str">
        <f>IF(ISNA(VLOOKUP(B107,Clienti!A:A,1,FALSE)),"Lipsă","OK")</f>
        <v>OK</v>
      </c>
    </row>
    <row r="108" spans="1:13">
      <c r="A108">
        <v>1107</v>
      </c>
      <c r="B108">
        <v>59</v>
      </c>
      <c r="C108" t="s">
        <v>348</v>
      </c>
      <c r="D108">
        <v>39962.959999999999</v>
      </c>
      <c r="E108" s="2">
        <v>44261</v>
      </c>
      <c r="G108" t="str">
        <f t="shared" si="3"/>
        <v>OK</v>
      </c>
      <c r="H108" t="str">
        <f t="shared" si="4"/>
        <v>OK</v>
      </c>
      <c r="K108" t="str">
        <f t="shared" si="5"/>
        <v>Outside</v>
      </c>
      <c r="M108" t="str">
        <f>IF(ISNA(VLOOKUP(B108,Clienti!A:A,1,FALSE)),"Lipsă","OK")</f>
        <v>OK</v>
      </c>
    </row>
    <row r="109" spans="1:13">
      <c r="A109">
        <v>1108</v>
      </c>
      <c r="B109">
        <v>60</v>
      </c>
      <c r="C109" t="s">
        <v>349</v>
      </c>
      <c r="D109">
        <v>16238.83</v>
      </c>
      <c r="E109" s="2">
        <v>43233</v>
      </c>
      <c r="G109" t="str">
        <f t="shared" si="3"/>
        <v>OK</v>
      </c>
      <c r="H109" t="str">
        <f t="shared" si="4"/>
        <v>OK</v>
      </c>
      <c r="K109" t="str">
        <f t="shared" si="5"/>
        <v>Outside</v>
      </c>
      <c r="M109" t="str">
        <f>IF(ISNA(VLOOKUP(B109,Clienti!A:A,1,FALSE)),"Lipsă","OK")</f>
        <v>OK</v>
      </c>
    </row>
    <row r="110" spans="1:13">
      <c r="A110">
        <v>1109</v>
      </c>
      <c r="B110">
        <v>60</v>
      </c>
      <c r="C110" t="s">
        <v>348</v>
      </c>
      <c r="D110">
        <v>37986.19</v>
      </c>
      <c r="E110" s="2">
        <v>44633</v>
      </c>
      <c r="G110" t="str">
        <f t="shared" si="3"/>
        <v>OK</v>
      </c>
      <c r="H110" t="str">
        <f t="shared" si="4"/>
        <v>OK</v>
      </c>
      <c r="K110" t="str">
        <f t="shared" si="5"/>
        <v>OK</v>
      </c>
      <c r="M110" t="str">
        <f>IF(ISNA(VLOOKUP(B110,Clienti!A:A,1,FALSE)),"Lipsă","OK")</f>
        <v>OK</v>
      </c>
    </row>
    <row r="111" spans="1:13">
      <c r="A111">
        <v>1110</v>
      </c>
      <c r="B111">
        <v>60</v>
      </c>
      <c r="C111" t="s">
        <v>348</v>
      </c>
      <c r="D111">
        <v>9527.2099999999991</v>
      </c>
      <c r="E111" s="2">
        <v>43154</v>
      </c>
      <c r="G111" t="str">
        <f t="shared" si="3"/>
        <v>OK</v>
      </c>
      <c r="H111" t="str">
        <f t="shared" si="4"/>
        <v>OK</v>
      </c>
      <c r="K111" t="str">
        <f t="shared" si="5"/>
        <v>Outside</v>
      </c>
      <c r="M111" t="str">
        <f>IF(ISNA(VLOOKUP(B111,Clienti!A:A,1,FALSE)),"Lipsă","OK")</f>
        <v>OK</v>
      </c>
    </row>
    <row r="112" spans="1:13">
      <c r="A112">
        <v>1111</v>
      </c>
      <c r="B112">
        <v>61</v>
      </c>
      <c r="C112" t="s">
        <v>348</v>
      </c>
      <c r="D112">
        <v>20379.75</v>
      </c>
      <c r="E112" s="2">
        <v>43505</v>
      </c>
      <c r="G112" t="str">
        <f t="shared" si="3"/>
        <v>OK</v>
      </c>
      <c r="H112" t="str">
        <f t="shared" si="4"/>
        <v>OK</v>
      </c>
      <c r="K112" t="str">
        <f t="shared" si="5"/>
        <v>Outside</v>
      </c>
      <c r="M112" t="str">
        <f>IF(ISNA(VLOOKUP(B112,Clienti!A:A,1,FALSE)),"Lipsă","OK")</f>
        <v>OK</v>
      </c>
    </row>
    <row r="113" spans="1:13">
      <c r="A113">
        <v>1112</v>
      </c>
      <c r="B113">
        <v>62</v>
      </c>
      <c r="C113" t="s">
        <v>349</v>
      </c>
      <c r="D113">
        <v>41969.64</v>
      </c>
      <c r="E113" s="2">
        <v>44045</v>
      </c>
      <c r="G113" t="str">
        <f t="shared" si="3"/>
        <v>OK</v>
      </c>
      <c r="H113" t="str">
        <f t="shared" si="4"/>
        <v>OK</v>
      </c>
      <c r="K113" t="str">
        <f t="shared" si="5"/>
        <v>Outside</v>
      </c>
      <c r="M113" t="str">
        <f>IF(ISNA(VLOOKUP(B113,Clienti!A:A,1,FALSE)),"Lipsă","OK")</f>
        <v>OK</v>
      </c>
    </row>
    <row r="114" spans="1:13">
      <c r="A114">
        <v>1113</v>
      </c>
      <c r="B114">
        <v>63</v>
      </c>
      <c r="C114" t="s">
        <v>349</v>
      </c>
      <c r="D114">
        <v>9200</v>
      </c>
      <c r="E114" s="2">
        <v>44246</v>
      </c>
      <c r="G114" t="str">
        <f t="shared" si="3"/>
        <v>OK</v>
      </c>
      <c r="H114" t="str">
        <f t="shared" si="4"/>
        <v>OK</v>
      </c>
      <c r="K114" t="str">
        <f t="shared" si="5"/>
        <v>Outside</v>
      </c>
      <c r="M114" t="str">
        <f>IF(ISNA(VLOOKUP(B114,Clienti!A:A,1,FALSE)),"Lipsă","OK")</f>
        <v>OK</v>
      </c>
    </row>
    <row r="115" spans="1:13">
      <c r="A115">
        <v>1114</v>
      </c>
      <c r="B115">
        <v>64</v>
      </c>
      <c r="C115" t="s">
        <v>349</v>
      </c>
      <c r="D115">
        <v>24834.41</v>
      </c>
      <c r="E115" s="2">
        <v>43263</v>
      </c>
      <c r="G115" t="str">
        <f t="shared" si="3"/>
        <v>OK</v>
      </c>
      <c r="H115" t="str">
        <f t="shared" si="4"/>
        <v>OK</v>
      </c>
      <c r="K115" t="str">
        <f t="shared" si="5"/>
        <v>Outside</v>
      </c>
      <c r="M115" t="str">
        <f>IF(ISNA(VLOOKUP(B115,Clienti!A:A,1,FALSE)),"Lipsă","OK")</f>
        <v>OK</v>
      </c>
    </row>
    <row r="116" spans="1:13">
      <c r="A116">
        <v>1115</v>
      </c>
      <c r="B116">
        <v>64</v>
      </c>
      <c r="C116" t="s">
        <v>348</v>
      </c>
      <c r="D116">
        <v>7140.64</v>
      </c>
      <c r="E116" s="2">
        <v>43397</v>
      </c>
      <c r="G116" t="str">
        <f t="shared" si="3"/>
        <v>OK</v>
      </c>
      <c r="H116" t="str">
        <f t="shared" si="4"/>
        <v>OK</v>
      </c>
      <c r="K116" t="str">
        <f t="shared" si="5"/>
        <v>Outside</v>
      </c>
      <c r="M116" t="str">
        <f>IF(ISNA(VLOOKUP(B116,Clienti!A:A,1,FALSE)),"Lipsă","OK")</f>
        <v>OK</v>
      </c>
    </row>
    <row r="117" spans="1:13">
      <c r="A117">
        <v>1116</v>
      </c>
      <c r="B117">
        <v>65</v>
      </c>
      <c r="C117" t="s">
        <v>349</v>
      </c>
      <c r="D117">
        <v>34800.410000000003</v>
      </c>
      <c r="E117" s="2">
        <v>43843</v>
      </c>
      <c r="G117" t="str">
        <f t="shared" si="3"/>
        <v>OK</v>
      </c>
      <c r="H117" t="str">
        <f t="shared" si="4"/>
        <v>OK</v>
      </c>
      <c r="K117" t="str">
        <f t="shared" si="5"/>
        <v>Outside</v>
      </c>
      <c r="M117" t="str">
        <f>IF(ISNA(VLOOKUP(B117,Clienti!A:A,1,FALSE)),"Lipsă","OK")</f>
        <v>OK</v>
      </c>
    </row>
    <row r="118" spans="1:13">
      <c r="A118">
        <v>1117</v>
      </c>
      <c r="B118">
        <v>66</v>
      </c>
      <c r="C118" t="s">
        <v>349</v>
      </c>
      <c r="D118">
        <v>33570.879999999997</v>
      </c>
      <c r="E118" s="2">
        <v>43330</v>
      </c>
      <c r="G118" t="str">
        <f t="shared" si="3"/>
        <v>OK</v>
      </c>
      <c r="H118" t="str">
        <f t="shared" si="4"/>
        <v>OK</v>
      </c>
      <c r="K118" t="str">
        <f t="shared" si="5"/>
        <v>Outside</v>
      </c>
      <c r="M118" t="str">
        <f>IF(ISNA(VLOOKUP(B118,Clienti!A:A,1,FALSE)),"Lipsă","OK")</f>
        <v>OK</v>
      </c>
    </row>
    <row r="119" spans="1:13">
      <c r="A119">
        <v>1118</v>
      </c>
      <c r="B119">
        <v>66</v>
      </c>
      <c r="C119" t="s">
        <v>349</v>
      </c>
      <c r="D119">
        <v>46344.4</v>
      </c>
      <c r="E119" s="2">
        <v>44559</v>
      </c>
      <c r="G119" t="str">
        <f t="shared" si="3"/>
        <v>OK</v>
      </c>
      <c r="H119" t="str">
        <f t="shared" si="4"/>
        <v>OK</v>
      </c>
      <c r="K119" t="str">
        <f t="shared" si="5"/>
        <v>Outside</v>
      </c>
      <c r="M119" t="str">
        <f>IF(ISNA(VLOOKUP(B119,Clienti!A:A,1,FALSE)),"Lipsă","OK")</f>
        <v>OK</v>
      </c>
    </row>
    <row r="120" spans="1:13">
      <c r="A120">
        <v>1119</v>
      </c>
      <c r="B120">
        <v>66</v>
      </c>
      <c r="C120" t="s">
        <v>349</v>
      </c>
      <c r="D120">
        <v>27173.81</v>
      </c>
      <c r="E120" s="2">
        <v>44057</v>
      </c>
      <c r="G120" t="str">
        <f t="shared" si="3"/>
        <v>OK</v>
      </c>
      <c r="H120" t="str">
        <f t="shared" si="4"/>
        <v>OK</v>
      </c>
      <c r="K120" t="str">
        <f t="shared" si="5"/>
        <v>Outside</v>
      </c>
      <c r="M120" t="str">
        <f>IF(ISNA(VLOOKUP(B120,Clienti!A:A,1,FALSE)),"Lipsă","OK")</f>
        <v>OK</v>
      </c>
    </row>
    <row r="121" spans="1:13">
      <c r="A121">
        <v>1120</v>
      </c>
      <c r="B121">
        <v>67</v>
      </c>
      <c r="C121" t="s">
        <v>349</v>
      </c>
      <c r="D121">
        <v>12560.71</v>
      </c>
      <c r="E121" s="2">
        <v>44206</v>
      </c>
      <c r="G121" t="str">
        <f t="shared" si="3"/>
        <v>OK</v>
      </c>
      <c r="H121" t="str">
        <f t="shared" si="4"/>
        <v>OK</v>
      </c>
      <c r="K121" t="str">
        <f t="shared" si="5"/>
        <v>Outside</v>
      </c>
      <c r="M121" t="str">
        <f>IF(ISNA(VLOOKUP(B121,Clienti!A:A,1,FALSE)),"Lipsă","OK")</f>
        <v>OK</v>
      </c>
    </row>
    <row r="122" spans="1:13">
      <c r="A122">
        <v>1121</v>
      </c>
      <c r="B122">
        <v>67</v>
      </c>
      <c r="C122" t="s">
        <v>348</v>
      </c>
      <c r="D122">
        <v>3571.66</v>
      </c>
      <c r="E122" s="2">
        <v>43989</v>
      </c>
      <c r="G122" t="str">
        <f t="shared" si="3"/>
        <v>OK</v>
      </c>
      <c r="H122" t="str">
        <f t="shared" si="4"/>
        <v>OK</v>
      </c>
      <c r="K122" t="str">
        <f t="shared" si="5"/>
        <v>Outside</v>
      </c>
      <c r="M122" t="str">
        <f>IF(ISNA(VLOOKUP(B122,Clienti!A:A,1,FALSE)),"Lipsă","OK")</f>
        <v>OK</v>
      </c>
    </row>
    <row r="123" spans="1:13">
      <c r="A123">
        <v>1122</v>
      </c>
      <c r="B123">
        <v>68</v>
      </c>
      <c r="C123" t="s">
        <v>348</v>
      </c>
      <c r="D123">
        <v>36088.339999999997</v>
      </c>
      <c r="E123" s="2">
        <v>43866</v>
      </c>
      <c r="G123" t="str">
        <f t="shared" si="3"/>
        <v>OK</v>
      </c>
      <c r="H123" t="str">
        <f t="shared" si="4"/>
        <v>OK</v>
      </c>
      <c r="K123" t="str">
        <f t="shared" si="5"/>
        <v>Outside</v>
      </c>
      <c r="M123" t="str">
        <f>IF(ISNA(VLOOKUP(B123,Clienti!A:A,1,FALSE)),"Lipsă","OK")</f>
        <v>OK</v>
      </c>
    </row>
    <row r="124" spans="1:13">
      <c r="A124">
        <v>1123</v>
      </c>
      <c r="B124">
        <v>68</v>
      </c>
      <c r="C124" t="s">
        <v>349</v>
      </c>
      <c r="D124">
        <v>12877.8</v>
      </c>
      <c r="E124" s="2">
        <v>43172</v>
      </c>
      <c r="G124" t="str">
        <f t="shared" si="3"/>
        <v>OK</v>
      </c>
      <c r="H124" t="str">
        <f t="shared" si="4"/>
        <v>OK</v>
      </c>
      <c r="K124" t="str">
        <f t="shared" si="5"/>
        <v>Outside</v>
      </c>
      <c r="M124" t="str">
        <f>IF(ISNA(VLOOKUP(B124,Clienti!A:A,1,FALSE)),"Lipsă","OK")</f>
        <v>OK</v>
      </c>
    </row>
    <row r="125" spans="1:13">
      <c r="A125">
        <v>1124</v>
      </c>
      <c r="B125">
        <v>68</v>
      </c>
      <c r="C125" t="s">
        <v>348</v>
      </c>
      <c r="D125">
        <v>37540.46</v>
      </c>
      <c r="E125" s="2">
        <v>43468</v>
      </c>
      <c r="G125" t="str">
        <f t="shared" si="3"/>
        <v>OK</v>
      </c>
      <c r="H125" t="str">
        <f t="shared" si="4"/>
        <v>OK</v>
      </c>
      <c r="K125" t="str">
        <f t="shared" si="5"/>
        <v>Outside</v>
      </c>
      <c r="M125" t="str">
        <f>IF(ISNA(VLOOKUP(B125,Clienti!A:A,1,FALSE)),"Lipsă","OK")</f>
        <v>OK</v>
      </c>
    </row>
    <row r="126" spans="1:13">
      <c r="A126">
        <v>1125</v>
      </c>
      <c r="B126">
        <v>69</v>
      </c>
      <c r="C126" t="s">
        <v>348</v>
      </c>
      <c r="D126">
        <v>37439.21</v>
      </c>
      <c r="E126" s="2">
        <v>44642</v>
      </c>
      <c r="G126" t="str">
        <f t="shared" si="3"/>
        <v>OK</v>
      </c>
      <c r="H126" t="str">
        <f t="shared" si="4"/>
        <v>OK</v>
      </c>
      <c r="K126" t="str">
        <f t="shared" si="5"/>
        <v>OK</v>
      </c>
      <c r="M126" t="str">
        <f>IF(ISNA(VLOOKUP(B126,Clienti!A:A,1,FALSE)),"Lipsă","OK")</f>
        <v>OK</v>
      </c>
    </row>
    <row r="127" spans="1:13">
      <c r="A127">
        <v>1126</v>
      </c>
      <c r="B127">
        <v>69</v>
      </c>
      <c r="C127" t="s">
        <v>349</v>
      </c>
      <c r="D127">
        <v>23375.97</v>
      </c>
      <c r="E127" s="2">
        <v>43226</v>
      </c>
      <c r="G127" t="str">
        <f t="shared" si="3"/>
        <v>OK</v>
      </c>
      <c r="H127" t="str">
        <f t="shared" si="4"/>
        <v>OK</v>
      </c>
      <c r="K127" t="str">
        <f t="shared" si="5"/>
        <v>Outside</v>
      </c>
      <c r="M127" t="str">
        <f>IF(ISNA(VLOOKUP(B127,Clienti!A:A,1,FALSE)),"Lipsă","OK")</f>
        <v>OK</v>
      </c>
    </row>
    <row r="128" spans="1:13">
      <c r="A128">
        <v>1127</v>
      </c>
      <c r="B128">
        <v>70</v>
      </c>
      <c r="C128" t="s">
        <v>348</v>
      </c>
      <c r="D128">
        <v>48836.21</v>
      </c>
      <c r="E128" s="2">
        <v>44334</v>
      </c>
      <c r="G128" t="str">
        <f t="shared" si="3"/>
        <v>OK</v>
      </c>
      <c r="H128" t="str">
        <f t="shared" si="4"/>
        <v>OK</v>
      </c>
      <c r="K128" t="str">
        <f t="shared" si="5"/>
        <v>Outside</v>
      </c>
      <c r="M128" t="str">
        <f>IF(ISNA(VLOOKUP(B128,Clienti!A:A,1,FALSE)),"Lipsă","OK")</f>
        <v>OK</v>
      </c>
    </row>
    <row r="129" spans="1:13">
      <c r="A129">
        <v>1128</v>
      </c>
      <c r="B129">
        <v>70</v>
      </c>
      <c r="C129" t="s">
        <v>348</v>
      </c>
      <c r="D129">
        <v>32509.31</v>
      </c>
      <c r="E129" s="2">
        <v>43586</v>
      </c>
      <c r="G129" t="str">
        <f t="shared" si="3"/>
        <v>OK</v>
      </c>
      <c r="H129" t="str">
        <f t="shared" si="4"/>
        <v>OK</v>
      </c>
      <c r="K129" t="str">
        <f t="shared" si="5"/>
        <v>Outside</v>
      </c>
      <c r="M129" t="str">
        <f>IF(ISNA(VLOOKUP(B129,Clienti!A:A,1,FALSE)),"Lipsă","OK")</f>
        <v>OK</v>
      </c>
    </row>
    <row r="130" spans="1:13">
      <c r="A130">
        <v>1129</v>
      </c>
      <c r="B130">
        <v>71</v>
      </c>
      <c r="C130" t="s">
        <v>349</v>
      </c>
      <c r="D130">
        <v>40173.129999999997</v>
      </c>
      <c r="E130" s="2">
        <v>44784</v>
      </c>
      <c r="G130" t="str">
        <f t="shared" si="3"/>
        <v>OK</v>
      </c>
      <c r="H130" t="str">
        <f t="shared" si="4"/>
        <v>OK</v>
      </c>
      <c r="K130" t="str">
        <f t="shared" si="5"/>
        <v>OK</v>
      </c>
      <c r="M130" t="str">
        <f>IF(ISNA(VLOOKUP(B130,Clienti!A:A,1,FALSE)),"Lipsă","OK")</f>
        <v>OK</v>
      </c>
    </row>
    <row r="131" spans="1:13">
      <c r="A131">
        <v>1130</v>
      </c>
      <c r="B131">
        <v>71</v>
      </c>
      <c r="C131" t="s">
        <v>348</v>
      </c>
      <c r="D131">
        <v>26682.53</v>
      </c>
      <c r="E131" s="2">
        <v>43196</v>
      </c>
      <c r="G131" t="str">
        <f t="shared" ref="G131:G194" si="6">IF(D131&lt;0,"Greșit","OK")</f>
        <v>OK</v>
      </c>
      <c r="H131" t="str">
        <f t="shared" ref="H131:H194" si="7">IF(ISBLANK(B131),"Lipsă","OK")</f>
        <v>OK</v>
      </c>
      <c r="K131" t="str">
        <f t="shared" ref="K131:K194" si="8">IF(AND(E131&gt;=DATE(2022,1,1),E131&lt;=DATE(2023,12,31)),"OK","Outside")</f>
        <v>Outside</v>
      </c>
      <c r="M131" t="str">
        <f>IF(ISNA(VLOOKUP(B131,Clienti!A:A,1,FALSE)),"Lipsă","OK")</f>
        <v>OK</v>
      </c>
    </row>
    <row r="132" spans="1:13">
      <c r="A132">
        <v>1131</v>
      </c>
      <c r="B132">
        <v>71</v>
      </c>
      <c r="C132" t="s">
        <v>349</v>
      </c>
      <c r="D132">
        <v>16156.01</v>
      </c>
      <c r="E132" s="2">
        <v>43139</v>
      </c>
      <c r="G132" t="str">
        <f t="shared" si="6"/>
        <v>OK</v>
      </c>
      <c r="H132" t="str">
        <f t="shared" si="7"/>
        <v>OK</v>
      </c>
      <c r="K132" t="str">
        <f t="shared" si="8"/>
        <v>Outside</v>
      </c>
      <c r="M132" t="str">
        <f>IF(ISNA(VLOOKUP(B132,Clienti!A:A,1,FALSE)),"Lipsă","OK")</f>
        <v>OK</v>
      </c>
    </row>
    <row r="133" spans="1:13">
      <c r="A133">
        <v>1132</v>
      </c>
      <c r="B133">
        <v>72</v>
      </c>
      <c r="C133" t="s">
        <v>348</v>
      </c>
      <c r="D133">
        <v>20877.14</v>
      </c>
      <c r="E133" s="2">
        <v>44177</v>
      </c>
      <c r="G133" t="str">
        <f t="shared" si="6"/>
        <v>OK</v>
      </c>
      <c r="H133" t="str">
        <f t="shared" si="7"/>
        <v>OK</v>
      </c>
      <c r="K133" t="str">
        <f t="shared" si="8"/>
        <v>Outside</v>
      </c>
      <c r="M133" t="str">
        <f>IF(ISNA(VLOOKUP(B133,Clienti!A:A,1,FALSE)),"Lipsă","OK")</f>
        <v>OK</v>
      </c>
    </row>
    <row r="134" spans="1:13">
      <c r="A134">
        <v>1133</v>
      </c>
      <c r="B134">
        <v>72</v>
      </c>
      <c r="C134" t="s">
        <v>348</v>
      </c>
      <c r="D134">
        <v>22949.41</v>
      </c>
      <c r="E134" s="2">
        <v>43916</v>
      </c>
      <c r="G134" t="str">
        <f t="shared" si="6"/>
        <v>OK</v>
      </c>
      <c r="H134" t="str">
        <f t="shared" si="7"/>
        <v>OK</v>
      </c>
      <c r="K134" t="str">
        <f t="shared" si="8"/>
        <v>Outside</v>
      </c>
      <c r="M134" t="str">
        <f>IF(ISNA(VLOOKUP(B134,Clienti!A:A,1,FALSE)),"Lipsă","OK")</f>
        <v>OK</v>
      </c>
    </row>
    <row r="135" spans="1:13">
      <c r="A135">
        <v>1134</v>
      </c>
      <c r="B135">
        <v>72</v>
      </c>
      <c r="C135" t="s">
        <v>348</v>
      </c>
      <c r="D135">
        <v>18562.18</v>
      </c>
      <c r="E135" s="2">
        <v>44069</v>
      </c>
      <c r="G135" t="str">
        <f t="shared" si="6"/>
        <v>OK</v>
      </c>
      <c r="H135" t="str">
        <f t="shared" si="7"/>
        <v>OK</v>
      </c>
      <c r="K135" t="str">
        <f t="shared" si="8"/>
        <v>Outside</v>
      </c>
      <c r="M135" t="str">
        <f>IF(ISNA(VLOOKUP(B135,Clienti!A:A,1,FALSE)),"Lipsă","OK")</f>
        <v>OK</v>
      </c>
    </row>
    <row r="136" spans="1:13">
      <c r="A136">
        <v>1135</v>
      </c>
      <c r="B136">
        <v>73</v>
      </c>
      <c r="C136" t="s">
        <v>349</v>
      </c>
      <c r="D136">
        <v>45521.26</v>
      </c>
      <c r="E136" s="2">
        <v>44222</v>
      </c>
      <c r="G136" t="str">
        <f t="shared" si="6"/>
        <v>OK</v>
      </c>
      <c r="H136" t="str">
        <f t="shared" si="7"/>
        <v>OK</v>
      </c>
      <c r="K136" t="str">
        <f t="shared" si="8"/>
        <v>Outside</v>
      </c>
      <c r="M136" t="str">
        <f>IF(ISNA(VLOOKUP(B136,Clienti!A:A,1,FALSE)),"Lipsă","OK")</f>
        <v>OK</v>
      </c>
    </row>
    <row r="137" spans="1:13">
      <c r="A137">
        <v>1136</v>
      </c>
      <c r="B137">
        <v>73</v>
      </c>
      <c r="C137" t="s">
        <v>348</v>
      </c>
      <c r="D137">
        <v>34852</v>
      </c>
      <c r="E137" s="2">
        <v>43121</v>
      </c>
      <c r="G137" t="str">
        <f t="shared" si="6"/>
        <v>OK</v>
      </c>
      <c r="H137" t="str">
        <f t="shared" si="7"/>
        <v>OK</v>
      </c>
      <c r="K137" t="str">
        <f t="shared" si="8"/>
        <v>Outside</v>
      </c>
      <c r="M137" t="str">
        <f>IF(ISNA(VLOOKUP(B137,Clienti!A:A,1,FALSE)),"Lipsă","OK")</f>
        <v>OK</v>
      </c>
    </row>
    <row r="138" spans="1:13">
      <c r="A138">
        <v>1137</v>
      </c>
      <c r="B138">
        <v>74</v>
      </c>
      <c r="C138" t="s">
        <v>348</v>
      </c>
      <c r="D138">
        <v>34122.61</v>
      </c>
      <c r="E138" s="2">
        <v>43295</v>
      </c>
      <c r="G138" t="str">
        <f t="shared" si="6"/>
        <v>OK</v>
      </c>
      <c r="H138" t="str">
        <f t="shared" si="7"/>
        <v>OK</v>
      </c>
      <c r="K138" t="str">
        <f t="shared" si="8"/>
        <v>Outside</v>
      </c>
      <c r="M138" t="str">
        <f>IF(ISNA(VLOOKUP(B138,Clienti!A:A,1,FALSE)),"Lipsă","OK")</f>
        <v>OK</v>
      </c>
    </row>
    <row r="139" spans="1:13">
      <c r="A139">
        <v>1138</v>
      </c>
      <c r="B139">
        <v>74</v>
      </c>
      <c r="C139" t="s">
        <v>349</v>
      </c>
      <c r="D139">
        <v>28930.59</v>
      </c>
      <c r="E139" s="2">
        <v>44379</v>
      </c>
      <c r="G139" t="str">
        <f t="shared" si="6"/>
        <v>OK</v>
      </c>
      <c r="H139" t="str">
        <f t="shared" si="7"/>
        <v>OK</v>
      </c>
      <c r="K139" t="str">
        <f t="shared" si="8"/>
        <v>Outside</v>
      </c>
      <c r="M139" t="str">
        <f>IF(ISNA(VLOOKUP(B139,Clienti!A:A,1,FALSE)),"Lipsă","OK")</f>
        <v>OK</v>
      </c>
    </row>
    <row r="140" spans="1:13">
      <c r="A140">
        <v>1139</v>
      </c>
      <c r="B140">
        <v>74</v>
      </c>
      <c r="C140" t="s">
        <v>348</v>
      </c>
      <c r="D140">
        <v>5792.02</v>
      </c>
      <c r="E140" s="2">
        <v>44104</v>
      </c>
      <c r="G140" t="str">
        <f t="shared" si="6"/>
        <v>OK</v>
      </c>
      <c r="H140" t="str">
        <f t="shared" si="7"/>
        <v>OK</v>
      </c>
      <c r="K140" t="str">
        <f t="shared" si="8"/>
        <v>Outside</v>
      </c>
      <c r="M140" t="str">
        <f>IF(ISNA(VLOOKUP(B140,Clienti!A:A,1,FALSE)),"Lipsă","OK")</f>
        <v>OK</v>
      </c>
    </row>
    <row r="141" spans="1:13">
      <c r="A141">
        <v>1140</v>
      </c>
      <c r="B141">
        <v>75</v>
      </c>
      <c r="C141" t="s">
        <v>348</v>
      </c>
      <c r="D141">
        <v>24302.57</v>
      </c>
      <c r="E141" s="2">
        <v>44640</v>
      </c>
      <c r="G141" t="str">
        <f t="shared" si="6"/>
        <v>OK</v>
      </c>
      <c r="H141" t="str">
        <f t="shared" si="7"/>
        <v>OK</v>
      </c>
      <c r="K141" t="str">
        <f t="shared" si="8"/>
        <v>OK</v>
      </c>
      <c r="M141" t="str">
        <f>IF(ISNA(VLOOKUP(B141,Clienti!A:A,1,FALSE)),"Lipsă","OK")</f>
        <v>OK</v>
      </c>
    </row>
    <row r="142" spans="1:13">
      <c r="A142">
        <v>1141</v>
      </c>
      <c r="B142">
        <v>76</v>
      </c>
      <c r="C142" t="s">
        <v>349</v>
      </c>
      <c r="D142">
        <v>10214.02</v>
      </c>
      <c r="E142" s="2">
        <v>44479</v>
      </c>
      <c r="G142" t="str">
        <f t="shared" si="6"/>
        <v>OK</v>
      </c>
      <c r="H142" t="str">
        <f t="shared" si="7"/>
        <v>OK</v>
      </c>
      <c r="K142" t="str">
        <f t="shared" si="8"/>
        <v>Outside</v>
      </c>
      <c r="M142" t="str">
        <f>IF(ISNA(VLOOKUP(B142,Clienti!A:A,1,FALSE)),"Lipsă","OK")</f>
        <v>OK</v>
      </c>
    </row>
    <row r="143" spans="1:13">
      <c r="A143">
        <v>1142</v>
      </c>
      <c r="B143">
        <v>77</v>
      </c>
      <c r="C143" t="s">
        <v>349</v>
      </c>
      <c r="D143">
        <v>43186.78</v>
      </c>
      <c r="E143" s="2">
        <v>44583</v>
      </c>
      <c r="G143" t="str">
        <f t="shared" si="6"/>
        <v>OK</v>
      </c>
      <c r="H143" t="str">
        <f t="shared" si="7"/>
        <v>OK</v>
      </c>
      <c r="K143" t="str">
        <f t="shared" si="8"/>
        <v>OK</v>
      </c>
      <c r="M143" t="str">
        <f>IF(ISNA(VLOOKUP(B143,Clienti!A:A,1,FALSE)),"Lipsă","OK")</f>
        <v>OK</v>
      </c>
    </row>
    <row r="144" spans="1:13">
      <c r="A144">
        <v>1143</v>
      </c>
      <c r="B144">
        <v>77</v>
      </c>
      <c r="C144" t="s">
        <v>348</v>
      </c>
      <c r="D144">
        <v>48451.8</v>
      </c>
      <c r="E144" s="2">
        <v>44706</v>
      </c>
      <c r="G144" t="str">
        <f t="shared" si="6"/>
        <v>OK</v>
      </c>
      <c r="H144" t="str">
        <f t="shared" si="7"/>
        <v>OK</v>
      </c>
      <c r="K144" t="str">
        <f t="shared" si="8"/>
        <v>OK</v>
      </c>
      <c r="M144" t="str">
        <f>IF(ISNA(VLOOKUP(B144,Clienti!A:A,1,FALSE)),"Lipsă","OK")</f>
        <v>OK</v>
      </c>
    </row>
    <row r="145" spans="1:13">
      <c r="A145">
        <v>1144</v>
      </c>
      <c r="B145">
        <v>77</v>
      </c>
      <c r="C145" t="s">
        <v>348</v>
      </c>
      <c r="D145">
        <v>32974.839999999997</v>
      </c>
      <c r="E145" s="2">
        <v>43621</v>
      </c>
      <c r="G145" t="str">
        <f t="shared" si="6"/>
        <v>OK</v>
      </c>
      <c r="H145" t="str">
        <f t="shared" si="7"/>
        <v>OK</v>
      </c>
      <c r="K145" t="str">
        <f t="shared" si="8"/>
        <v>Outside</v>
      </c>
      <c r="M145" t="str">
        <f>IF(ISNA(VLOOKUP(B145,Clienti!A:A,1,FALSE)),"Lipsă","OK")</f>
        <v>OK</v>
      </c>
    </row>
    <row r="146" spans="1:13">
      <c r="A146">
        <v>1145</v>
      </c>
      <c r="B146">
        <v>78</v>
      </c>
      <c r="C146" t="s">
        <v>349</v>
      </c>
      <c r="D146">
        <v>42654.53</v>
      </c>
      <c r="E146" s="2">
        <v>43632</v>
      </c>
      <c r="G146" t="str">
        <f t="shared" si="6"/>
        <v>OK</v>
      </c>
      <c r="H146" t="str">
        <f t="shared" si="7"/>
        <v>OK</v>
      </c>
      <c r="K146" t="str">
        <f t="shared" si="8"/>
        <v>Outside</v>
      </c>
      <c r="M146" t="str">
        <f>IF(ISNA(VLOOKUP(B146,Clienti!A:A,1,FALSE)),"Lipsă","OK")</f>
        <v>OK</v>
      </c>
    </row>
    <row r="147" spans="1:13">
      <c r="A147">
        <v>1146</v>
      </c>
      <c r="B147">
        <v>78</v>
      </c>
      <c r="C147" t="s">
        <v>348</v>
      </c>
      <c r="D147">
        <v>769.28</v>
      </c>
      <c r="E147" s="2">
        <v>43608</v>
      </c>
      <c r="G147" t="str">
        <f t="shared" si="6"/>
        <v>OK</v>
      </c>
      <c r="H147" t="str">
        <f t="shared" si="7"/>
        <v>OK</v>
      </c>
      <c r="K147" t="str">
        <f t="shared" si="8"/>
        <v>Outside</v>
      </c>
      <c r="M147" t="str">
        <f>IF(ISNA(VLOOKUP(B147,Clienti!A:A,1,FALSE)),"Lipsă","OK")</f>
        <v>OK</v>
      </c>
    </row>
    <row r="148" spans="1:13">
      <c r="A148">
        <v>1147</v>
      </c>
      <c r="B148">
        <v>79</v>
      </c>
      <c r="C148" t="s">
        <v>348</v>
      </c>
      <c r="D148">
        <v>20875.919999999998</v>
      </c>
      <c r="E148" s="2">
        <v>44068</v>
      </c>
      <c r="G148" t="str">
        <f t="shared" si="6"/>
        <v>OK</v>
      </c>
      <c r="H148" t="str">
        <f t="shared" si="7"/>
        <v>OK</v>
      </c>
      <c r="K148" t="str">
        <f t="shared" si="8"/>
        <v>Outside</v>
      </c>
      <c r="M148" t="str">
        <f>IF(ISNA(VLOOKUP(B148,Clienti!A:A,1,FALSE)),"Lipsă","OK")</f>
        <v>OK</v>
      </c>
    </row>
    <row r="149" spans="1:13">
      <c r="A149">
        <v>1148</v>
      </c>
      <c r="B149">
        <v>79</v>
      </c>
      <c r="C149" t="s">
        <v>349</v>
      </c>
      <c r="D149">
        <v>46849.79</v>
      </c>
      <c r="E149" s="2">
        <v>43296</v>
      </c>
      <c r="G149" t="str">
        <f t="shared" si="6"/>
        <v>OK</v>
      </c>
      <c r="H149" t="str">
        <f t="shared" si="7"/>
        <v>OK</v>
      </c>
      <c r="K149" t="str">
        <f t="shared" si="8"/>
        <v>Outside</v>
      </c>
      <c r="M149" t="str">
        <f>IF(ISNA(VLOOKUP(B149,Clienti!A:A,1,FALSE)),"Lipsă","OK")</f>
        <v>OK</v>
      </c>
    </row>
    <row r="150" spans="1:13">
      <c r="A150">
        <v>1149</v>
      </c>
      <c r="B150">
        <v>79</v>
      </c>
      <c r="C150" t="s">
        <v>349</v>
      </c>
      <c r="D150">
        <v>21862.1</v>
      </c>
      <c r="E150" s="2">
        <v>44903</v>
      </c>
      <c r="G150" t="str">
        <f t="shared" si="6"/>
        <v>OK</v>
      </c>
      <c r="H150" t="str">
        <f t="shared" si="7"/>
        <v>OK</v>
      </c>
      <c r="K150" t="str">
        <f t="shared" si="8"/>
        <v>OK</v>
      </c>
      <c r="M150" t="str">
        <f>IF(ISNA(VLOOKUP(B150,Clienti!A:A,1,FALSE)),"Lipsă","OK")</f>
        <v>OK</v>
      </c>
    </row>
    <row r="151" spans="1:13">
      <c r="A151">
        <v>1150</v>
      </c>
      <c r="B151">
        <v>80</v>
      </c>
      <c r="C151" t="s">
        <v>349</v>
      </c>
      <c r="D151">
        <v>47742.080000000002</v>
      </c>
      <c r="E151" s="2">
        <v>43717</v>
      </c>
      <c r="G151" t="str">
        <f t="shared" si="6"/>
        <v>OK</v>
      </c>
      <c r="H151" t="str">
        <f t="shared" si="7"/>
        <v>OK</v>
      </c>
      <c r="K151" t="str">
        <f t="shared" si="8"/>
        <v>Outside</v>
      </c>
      <c r="M151" t="str">
        <f>IF(ISNA(VLOOKUP(B151,Clienti!A:A,1,FALSE)),"Lipsă","OK")</f>
        <v>OK</v>
      </c>
    </row>
    <row r="152" spans="1:13">
      <c r="A152">
        <v>1151</v>
      </c>
      <c r="B152">
        <v>80</v>
      </c>
      <c r="C152" t="s">
        <v>349</v>
      </c>
      <c r="D152">
        <v>17884.830000000002</v>
      </c>
      <c r="E152" s="2">
        <v>43460</v>
      </c>
      <c r="G152" t="str">
        <f t="shared" si="6"/>
        <v>OK</v>
      </c>
      <c r="H152" t="str">
        <f t="shared" si="7"/>
        <v>OK</v>
      </c>
      <c r="K152" t="str">
        <f t="shared" si="8"/>
        <v>Outside</v>
      </c>
      <c r="M152" t="str">
        <f>IF(ISNA(VLOOKUP(B152,Clienti!A:A,1,FALSE)),"Lipsă","OK")</f>
        <v>OK</v>
      </c>
    </row>
    <row r="153" spans="1:13">
      <c r="A153">
        <v>1152</v>
      </c>
      <c r="B153">
        <v>81</v>
      </c>
      <c r="C153" t="s">
        <v>348</v>
      </c>
      <c r="D153">
        <v>32545.360000000001</v>
      </c>
      <c r="E153" s="2">
        <v>43117</v>
      </c>
      <c r="G153" t="str">
        <f t="shared" si="6"/>
        <v>OK</v>
      </c>
      <c r="H153" t="str">
        <f t="shared" si="7"/>
        <v>OK</v>
      </c>
      <c r="K153" t="str">
        <f t="shared" si="8"/>
        <v>Outside</v>
      </c>
      <c r="M153" t="str">
        <f>IF(ISNA(VLOOKUP(B153,Clienti!A:A,1,FALSE)),"Lipsă","OK")</f>
        <v>OK</v>
      </c>
    </row>
    <row r="154" spans="1:13">
      <c r="A154">
        <v>1153</v>
      </c>
      <c r="B154">
        <v>82</v>
      </c>
      <c r="C154" t="s">
        <v>348</v>
      </c>
      <c r="D154">
        <v>19403.560000000001</v>
      </c>
      <c r="E154" s="2">
        <v>44060</v>
      </c>
      <c r="G154" t="str">
        <f t="shared" si="6"/>
        <v>OK</v>
      </c>
      <c r="H154" t="str">
        <f t="shared" si="7"/>
        <v>OK</v>
      </c>
      <c r="K154" t="str">
        <f t="shared" si="8"/>
        <v>Outside</v>
      </c>
      <c r="M154" t="str">
        <f>IF(ISNA(VLOOKUP(B154,Clienti!A:A,1,FALSE)),"Lipsă","OK")</f>
        <v>OK</v>
      </c>
    </row>
    <row r="155" spans="1:13">
      <c r="A155">
        <v>1154</v>
      </c>
      <c r="B155">
        <v>82</v>
      </c>
      <c r="C155" t="s">
        <v>348</v>
      </c>
      <c r="D155">
        <v>47835.95</v>
      </c>
      <c r="E155" s="2">
        <v>43979</v>
      </c>
      <c r="G155" t="str">
        <f t="shared" si="6"/>
        <v>OK</v>
      </c>
      <c r="H155" t="str">
        <f t="shared" si="7"/>
        <v>OK</v>
      </c>
      <c r="K155" t="str">
        <f t="shared" si="8"/>
        <v>Outside</v>
      </c>
      <c r="M155" t="str">
        <f>IF(ISNA(VLOOKUP(B155,Clienti!A:A,1,FALSE)),"Lipsă","OK")</f>
        <v>OK</v>
      </c>
    </row>
    <row r="156" spans="1:13">
      <c r="A156">
        <v>1155</v>
      </c>
      <c r="B156">
        <v>82</v>
      </c>
      <c r="C156" t="s">
        <v>349</v>
      </c>
      <c r="D156">
        <v>12326.19</v>
      </c>
      <c r="E156" s="2">
        <v>43481</v>
      </c>
      <c r="G156" t="str">
        <f t="shared" si="6"/>
        <v>OK</v>
      </c>
      <c r="H156" t="str">
        <f t="shared" si="7"/>
        <v>OK</v>
      </c>
      <c r="K156" t="str">
        <f t="shared" si="8"/>
        <v>Outside</v>
      </c>
      <c r="M156" t="str">
        <f>IF(ISNA(VLOOKUP(B156,Clienti!A:A,1,FALSE)),"Lipsă","OK")</f>
        <v>OK</v>
      </c>
    </row>
    <row r="157" spans="1:13">
      <c r="A157">
        <v>1156</v>
      </c>
      <c r="B157">
        <v>83</v>
      </c>
      <c r="C157" t="s">
        <v>349</v>
      </c>
      <c r="D157">
        <v>16824.509999999998</v>
      </c>
      <c r="E157" s="2">
        <v>43708</v>
      </c>
      <c r="G157" t="str">
        <f t="shared" si="6"/>
        <v>OK</v>
      </c>
      <c r="H157" t="str">
        <f t="shared" si="7"/>
        <v>OK</v>
      </c>
      <c r="K157" t="str">
        <f t="shared" si="8"/>
        <v>Outside</v>
      </c>
      <c r="M157" t="str">
        <f>IF(ISNA(VLOOKUP(B157,Clienti!A:A,1,FALSE)),"Lipsă","OK")</f>
        <v>OK</v>
      </c>
    </row>
    <row r="158" spans="1:13">
      <c r="A158">
        <v>1157</v>
      </c>
      <c r="B158">
        <v>83</v>
      </c>
      <c r="C158" t="s">
        <v>348</v>
      </c>
      <c r="D158">
        <v>28920.17</v>
      </c>
      <c r="E158" s="2">
        <v>44834</v>
      </c>
      <c r="G158" t="str">
        <f t="shared" si="6"/>
        <v>OK</v>
      </c>
      <c r="H158" t="str">
        <f t="shared" si="7"/>
        <v>OK</v>
      </c>
      <c r="K158" t="str">
        <f t="shared" si="8"/>
        <v>OK</v>
      </c>
      <c r="M158" t="str">
        <f>IF(ISNA(VLOOKUP(B158,Clienti!A:A,1,FALSE)),"Lipsă","OK")</f>
        <v>OK</v>
      </c>
    </row>
    <row r="159" spans="1:13">
      <c r="A159">
        <v>1158</v>
      </c>
      <c r="B159">
        <v>83</v>
      </c>
      <c r="C159" t="s">
        <v>349</v>
      </c>
      <c r="D159">
        <v>30577.71</v>
      </c>
      <c r="E159" s="2">
        <v>43649</v>
      </c>
      <c r="G159" t="str">
        <f t="shared" si="6"/>
        <v>OK</v>
      </c>
      <c r="H159" t="str">
        <f t="shared" si="7"/>
        <v>OK</v>
      </c>
      <c r="K159" t="str">
        <f t="shared" si="8"/>
        <v>Outside</v>
      </c>
      <c r="M159" t="str">
        <f>IF(ISNA(VLOOKUP(B159,Clienti!A:A,1,FALSE)),"Lipsă","OK")</f>
        <v>OK</v>
      </c>
    </row>
    <row r="160" spans="1:13">
      <c r="A160">
        <v>1159</v>
      </c>
      <c r="B160">
        <v>84</v>
      </c>
      <c r="C160" t="s">
        <v>348</v>
      </c>
      <c r="D160">
        <v>17314.52</v>
      </c>
      <c r="E160" s="2">
        <v>44666</v>
      </c>
      <c r="G160" t="str">
        <f t="shared" si="6"/>
        <v>OK</v>
      </c>
      <c r="H160" t="str">
        <f t="shared" si="7"/>
        <v>OK</v>
      </c>
      <c r="K160" t="str">
        <f t="shared" si="8"/>
        <v>OK</v>
      </c>
      <c r="M160" t="str">
        <f>IF(ISNA(VLOOKUP(B160,Clienti!A:A,1,FALSE)),"Lipsă","OK")</f>
        <v>OK</v>
      </c>
    </row>
    <row r="161" spans="1:13">
      <c r="A161">
        <v>1160</v>
      </c>
      <c r="B161">
        <v>84</v>
      </c>
      <c r="C161" t="s">
        <v>349</v>
      </c>
      <c r="D161">
        <v>27201.68</v>
      </c>
      <c r="E161" s="2">
        <v>43861</v>
      </c>
      <c r="G161" t="str">
        <f t="shared" si="6"/>
        <v>OK</v>
      </c>
      <c r="H161" t="str">
        <f t="shared" si="7"/>
        <v>OK</v>
      </c>
      <c r="K161" t="str">
        <f t="shared" si="8"/>
        <v>Outside</v>
      </c>
      <c r="M161" t="str">
        <f>IF(ISNA(VLOOKUP(B161,Clienti!A:A,1,FALSE)),"Lipsă","OK")</f>
        <v>OK</v>
      </c>
    </row>
    <row r="162" spans="1:13">
      <c r="A162">
        <v>1161</v>
      </c>
      <c r="B162">
        <v>84</v>
      </c>
      <c r="C162" t="s">
        <v>349</v>
      </c>
      <c r="D162">
        <v>29374.92</v>
      </c>
      <c r="E162" s="2">
        <v>44809</v>
      </c>
      <c r="G162" t="str">
        <f t="shared" si="6"/>
        <v>OK</v>
      </c>
      <c r="H162" t="str">
        <f t="shared" si="7"/>
        <v>OK</v>
      </c>
      <c r="K162" t="str">
        <f t="shared" si="8"/>
        <v>OK</v>
      </c>
      <c r="M162" t="str">
        <f>IF(ISNA(VLOOKUP(B162,Clienti!A:A,1,FALSE)),"Lipsă","OK")</f>
        <v>OK</v>
      </c>
    </row>
    <row r="163" spans="1:13">
      <c r="A163">
        <v>1162</v>
      </c>
      <c r="B163">
        <v>85</v>
      </c>
      <c r="C163" t="s">
        <v>349</v>
      </c>
      <c r="D163">
        <v>2583.3000000000002</v>
      </c>
      <c r="E163" s="2">
        <v>44279</v>
      </c>
      <c r="G163" t="str">
        <f t="shared" si="6"/>
        <v>OK</v>
      </c>
      <c r="H163" t="str">
        <f t="shared" si="7"/>
        <v>OK</v>
      </c>
      <c r="K163" t="str">
        <f t="shared" si="8"/>
        <v>Outside</v>
      </c>
      <c r="M163" t="str">
        <f>IF(ISNA(VLOOKUP(B163,Clienti!A:A,1,FALSE)),"Lipsă","OK")</f>
        <v>OK</v>
      </c>
    </row>
    <row r="164" spans="1:13">
      <c r="A164">
        <v>1163</v>
      </c>
      <c r="B164">
        <v>85</v>
      </c>
      <c r="C164" t="s">
        <v>348</v>
      </c>
      <c r="D164">
        <v>15160.44</v>
      </c>
      <c r="E164" s="2">
        <v>44038</v>
      </c>
      <c r="G164" t="str">
        <f t="shared" si="6"/>
        <v>OK</v>
      </c>
      <c r="H164" t="str">
        <f t="shared" si="7"/>
        <v>OK</v>
      </c>
      <c r="K164" t="str">
        <f t="shared" si="8"/>
        <v>Outside</v>
      </c>
      <c r="M164" t="str">
        <f>IF(ISNA(VLOOKUP(B164,Clienti!A:A,1,FALSE)),"Lipsă","OK")</f>
        <v>OK</v>
      </c>
    </row>
    <row r="165" spans="1:13">
      <c r="A165">
        <v>1164</v>
      </c>
      <c r="B165">
        <v>86</v>
      </c>
      <c r="C165" t="s">
        <v>349</v>
      </c>
      <c r="D165">
        <v>45950.36</v>
      </c>
      <c r="E165" s="2">
        <v>43210</v>
      </c>
      <c r="G165" t="str">
        <f t="shared" si="6"/>
        <v>OK</v>
      </c>
      <c r="H165" t="str">
        <f t="shared" si="7"/>
        <v>OK</v>
      </c>
      <c r="K165" t="str">
        <f t="shared" si="8"/>
        <v>Outside</v>
      </c>
      <c r="M165" t="str">
        <f>IF(ISNA(VLOOKUP(B165,Clienti!A:A,1,FALSE)),"Lipsă","OK")</f>
        <v>OK</v>
      </c>
    </row>
    <row r="166" spans="1:13">
      <c r="A166">
        <v>1165</v>
      </c>
      <c r="B166">
        <v>86</v>
      </c>
      <c r="C166" t="s">
        <v>348</v>
      </c>
      <c r="D166">
        <v>14516.85</v>
      </c>
      <c r="E166" s="2">
        <v>43612</v>
      </c>
      <c r="G166" t="str">
        <f t="shared" si="6"/>
        <v>OK</v>
      </c>
      <c r="H166" t="str">
        <f t="shared" si="7"/>
        <v>OK</v>
      </c>
      <c r="K166" t="str">
        <f t="shared" si="8"/>
        <v>Outside</v>
      </c>
      <c r="M166" t="str">
        <f>IF(ISNA(VLOOKUP(B166,Clienti!A:A,1,FALSE)),"Lipsă","OK")</f>
        <v>OK</v>
      </c>
    </row>
    <row r="167" spans="1:13">
      <c r="A167">
        <v>1166</v>
      </c>
      <c r="B167">
        <v>86</v>
      </c>
      <c r="C167" t="s">
        <v>349</v>
      </c>
      <c r="D167">
        <v>45598.92</v>
      </c>
      <c r="E167" s="2">
        <v>44176</v>
      </c>
      <c r="G167" t="str">
        <f t="shared" si="6"/>
        <v>OK</v>
      </c>
      <c r="H167" t="str">
        <f t="shared" si="7"/>
        <v>OK</v>
      </c>
      <c r="K167" t="str">
        <f t="shared" si="8"/>
        <v>Outside</v>
      </c>
      <c r="M167" t="str">
        <f>IF(ISNA(VLOOKUP(B167,Clienti!A:A,1,FALSE)),"Lipsă","OK")</f>
        <v>OK</v>
      </c>
    </row>
    <row r="168" spans="1:13">
      <c r="A168">
        <v>1167</v>
      </c>
      <c r="B168">
        <v>87</v>
      </c>
      <c r="C168" t="s">
        <v>348</v>
      </c>
      <c r="D168">
        <v>3943.29</v>
      </c>
      <c r="E168" s="2">
        <v>44370</v>
      </c>
      <c r="G168" t="str">
        <f t="shared" si="6"/>
        <v>OK</v>
      </c>
      <c r="H168" t="str">
        <f t="shared" si="7"/>
        <v>OK</v>
      </c>
      <c r="K168" t="str">
        <f t="shared" si="8"/>
        <v>Outside</v>
      </c>
      <c r="M168" t="str">
        <f>IF(ISNA(VLOOKUP(B168,Clienti!A:A,1,FALSE)),"Lipsă","OK")</f>
        <v>OK</v>
      </c>
    </row>
    <row r="169" spans="1:13">
      <c r="A169">
        <v>1168</v>
      </c>
      <c r="B169">
        <v>87</v>
      </c>
      <c r="C169" t="s">
        <v>348</v>
      </c>
      <c r="D169">
        <v>41017.629999999997</v>
      </c>
      <c r="E169" s="2">
        <v>44775</v>
      </c>
      <c r="G169" t="str">
        <f t="shared" si="6"/>
        <v>OK</v>
      </c>
      <c r="H169" t="str">
        <f t="shared" si="7"/>
        <v>OK</v>
      </c>
      <c r="K169" t="str">
        <f t="shared" si="8"/>
        <v>OK</v>
      </c>
      <c r="M169" t="str">
        <f>IF(ISNA(VLOOKUP(B169,Clienti!A:A,1,FALSE)),"Lipsă","OK")</f>
        <v>OK</v>
      </c>
    </row>
    <row r="170" spans="1:13">
      <c r="A170">
        <v>1169</v>
      </c>
      <c r="B170">
        <v>87</v>
      </c>
      <c r="C170" t="s">
        <v>348</v>
      </c>
      <c r="D170">
        <v>8388.44</v>
      </c>
      <c r="E170" s="2">
        <v>43978</v>
      </c>
      <c r="G170" t="str">
        <f t="shared" si="6"/>
        <v>OK</v>
      </c>
      <c r="H170" t="str">
        <f t="shared" si="7"/>
        <v>OK</v>
      </c>
      <c r="K170" t="str">
        <f t="shared" si="8"/>
        <v>Outside</v>
      </c>
      <c r="M170" t="str">
        <f>IF(ISNA(VLOOKUP(B170,Clienti!A:A,1,FALSE)),"Lipsă","OK")</f>
        <v>OK</v>
      </c>
    </row>
    <row r="171" spans="1:13">
      <c r="A171">
        <v>1170</v>
      </c>
      <c r="B171">
        <v>88</v>
      </c>
      <c r="C171" t="s">
        <v>348</v>
      </c>
      <c r="D171">
        <v>19528.61</v>
      </c>
      <c r="E171" s="2">
        <v>43616</v>
      </c>
      <c r="G171" t="str">
        <f t="shared" si="6"/>
        <v>OK</v>
      </c>
      <c r="H171" t="str">
        <f t="shared" si="7"/>
        <v>OK</v>
      </c>
      <c r="K171" t="str">
        <f t="shared" si="8"/>
        <v>Outside</v>
      </c>
      <c r="M171" t="str">
        <f>IF(ISNA(VLOOKUP(B171,Clienti!A:A,1,FALSE)),"Lipsă","OK")</f>
        <v>OK</v>
      </c>
    </row>
    <row r="172" spans="1:13">
      <c r="A172">
        <v>1171</v>
      </c>
      <c r="B172">
        <v>89</v>
      </c>
      <c r="C172" t="s">
        <v>349</v>
      </c>
      <c r="D172">
        <v>41911.410000000003</v>
      </c>
      <c r="E172" s="2">
        <v>44240</v>
      </c>
      <c r="G172" t="str">
        <f t="shared" si="6"/>
        <v>OK</v>
      </c>
      <c r="H172" t="str">
        <f t="shared" si="7"/>
        <v>OK</v>
      </c>
      <c r="K172" t="str">
        <f t="shared" si="8"/>
        <v>Outside</v>
      </c>
      <c r="M172" t="str">
        <f>IF(ISNA(VLOOKUP(B172,Clienti!A:A,1,FALSE)),"Lipsă","OK")</f>
        <v>OK</v>
      </c>
    </row>
    <row r="173" spans="1:13">
      <c r="A173">
        <v>1172</v>
      </c>
      <c r="B173">
        <v>89</v>
      </c>
      <c r="C173" t="s">
        <v>348</v>
      </c>
      <c r="D173">
        <v>12569.91</v>
      </c>
      <c r="E173" s="2">
        <v>44918</v>
      </c>
      <c r="G173" t="str">
        <f t="shared" si="6"/>
        <v>OK</v>
      </c>
      <c r="H173" t="str">
        <f t="shared" si="7"/>
        <v>OK</v>
      </c>
      <c r="K173" t="str">
        <f t="shared" si="8"/>
        <v>OK</v>
      </c>
      <c r="M173" t="str">
        <f>IF(ISNA(VLOOKUP(B173,Clienti!A:A,1,FALSE)),"Lipsă","OK")</f>
        <v>OK</v>
      </c>
    </row>
    <row r="174" spans="1:13">
      <c r="A174">
        <v>1173</v>
      </c>
      <c r="B174">
        <v>89</v>
      </c>
      <c r="C174" t="s">
        <v>348</v>
      </c>
      <c r="D174">
        <v>24024.01</v>
      </c>
      <c r="E174" s="2">
        <v>44374</v>
      </c>
      <c r="G174" t="str">
        <f t="shared" si="6"/>
        <v>OK</v>
      </c>
      <c r="H174" t="str">
        <f t="shared" si="7"/>
        <v>OK</v>
      </c>
      <c r="K174" t="str">
        <f t="shared" si="8"/>
        <v>Outside</v>
      </c>
      <c r="M174" t="str">
        <f>IF(ISNA(VLOOKUP(B174,Clienti!A:A,1,FALSE)),"Lipsă","OK")</f>
        <v>OK</v>
      </c>
    </row>
    <row r="175" spans="1:13">
      <c r="A175">
        <v>1174</v>
      </c>
      <c r="B175">
        <v>90</v>
      </c>
      <c r="C175" t="s">
        <v>348</v>
      </c>
      <c r="D175">
        <v>27465.42</v>
      </c>
      <c r="E175" s="2">
        <v>44627</v>
      </c>
      <c r="G175" t="str">
        <f t="shared" si="6"/>
        <v>OK</v>
      </c>
      <c r="H175" t="str">
        <f t="shared" si="7"/>
        <v>OK</v>
      </c>
      <c r="K175" t="str">
        <f t="shared" si="8"/>
        <v>OK</v>
      </c>
      <c r="M175" t="str">
        <f>IF(ISNA(VLOOKUP(B175,Clienti!A:A,1,FALSE)),"Lipsă","OK")</f>
        <v>OK</v>
      </c>
    </row>
    <row r="176" spans="1:13">
      <c r="A176">
        <v>1175</v>
      </c>
      <c r="B176">
        <v>90</v>
      </c>
      <c r="C176" t="s">
        <v>349</v>
      </c>
      <c r="D176">
        <v>47803.1</v>
      </c>
      <c r="E176" s="2">
        <v>44508</v>
      </c>
      <c r="G176" t="str">
        <f t="shared" si="6"/>
        <v>OK</v>
      </c>
      <c r="H176" t="str">
        <f t="shared" si="7"/>
        <v>OK</v>
      </c>
      <c r="K176" t="str">
        <f t="shared" si="8"/>
        <v>Outside</v>
      </c>
      <c r="M176" t="str">
        <f>IF(ISNA(VLOOKUP(B176,Clienti!A:A,1,FALSE)),"Lipsă","OK")</f>
        <v>OK</v>
      </c>
    </row>
    <row r="177" spans="1:13">
      <c r="A177">
        <v>1176</v>
      </c>
      <c r="B177">
        <v>90</v>
      </c>
      <c r="C177" t="s">
        <v>349</v>
      </c>
      <c r="D177">
        <v>32487.24</v>
      </c>
      <c r="E177" s="2">
        <v>44175</v>
      </c>
      <c r="G177" t="str">
        <f t="shared" si="6"/>
        <v>OK</v>
      </c>
      <c r="H177" t="str">
        <f t="shared" si="7"/>
        <v>OK</v>
      </c>
      <c r="K177" t="str">
        <f t="shared" si="8"/>
        <v>Outside</v>
      </c>
      <c r="M177" t="str">
        <f>IF(ISNA(VLOOKUP(B177,Clienti!A:A,1,FALSE)),"Lipsă","OK")</f>
        <v>OK</v>
      </c>
    </row>
    <row r="178" spans="1:13">
      <c r="A178">
        <v>1177</v>
      </c>
      <c r="B178">
        <v>91</v>
      </c>
      <c r="C178" t="s">
        <v>348</v>
      </c>
      <c r="D178">
        <v>4789.97</v>
      </c>
      <c r="E178" s="2">
        <v>44512</v>
      </c>
      <c r="G178" t="str">
        <f t="shared" si="6"/>
        <v>OK</v>
      </c>
      <c r="H178" t="str">
        <f t="shared" si="7"/>
        <v>OK</v>
      </c>
      <c r="K178" t="str">
        <f t="shared" si="8"/>
        <v>Outside</v>
      </c>
      <c r="M178" t="str">
        <f>IF(ISNA(VLOOKUP(B178,Clienti!A:A,1,FALSE)),"Lipsă","OK")</f>
        <v>OK</v>
      </c>
    </row>
    <row r="179" spans="1:13">
      <c r="A179">
        <v>1178</v>
      </c>
      <c r="B179">
        <v>91</v>
      </c>
      <c r="C179" t="s">
        <v>348</v>
      </c>
      <c r="D179">
        <v>374.95</v>
      </c>
      <c r="E179" s="2">
        <v>43507</v>
      </c>
      <c r="G179" t="str">
        <f t="shared" si="6"/>
        <v>OK</v>
      </c>
      <c r="H179" t="str">
        <f t="shared" si="7"/>
        <v>OK</v>
      </c>
      <c r="K179" t="str">
        <f t="shared" si="8"/>
        <v>Outside</v>
      </c>
      <c r="M179" t="str">
        <f>IF(ISNA(VLOOKUP(B179,Clienti!A:A,1,FALSE)),"Lipsă","OK")</f>
        <v>OK</v>
      </c>
    </row>
    <row r="180" spans="1:13">
      <c r="A180">
        <v>1179</v>
      </c>
      <c r="B180">
        <v>91</v>
      </c>
      <c r="C180" t="s">
        <v>348</v>
      </c>
      <c r="D180">
        <v>40493.22</v>
      </c>
      <c r="E180" s="2">
        <v>44080</v>
      </c>
      <c r="G180" t="str">
        <f t="shared" si="6"/>
        <v>OK</v>
      </c>
      <c r="H180" t="str">
        <f t="shared" si="7"/>
        <v>OK</v>
      </c>
      <c r="K180" t="str">
        <f t="shared" si="8"/>
        <v>Outside</v>
      </c>
      <c r="M180" t="str">
        <f>IF(ISNA(VLOOKUP(B180,Clienti!A:A,1,FALSE)),"Lipsă","OK")</f>
        <v>OK</v>
      </c>
    </row>
    <row r="181" spans="1:13">
      <c r="A181">
        <v>1180</v>
      </c>
      <c r="B181">
        <v>92</v>
      </c>
      <c r="C181" t="s">
        <v>348</v>
      </c>
      <c r="D181">
        <v>28068.04</v>
      </c>
      <c r="E181" s="2">
        <v>43705</v>
      </c>
      <c r="G181" t="str">
        <f t="shared" si="6"/>
        <v>OK</v>
      </c>
      <c r="H181" t="str">
        <f t="shared" si="7"/>
        <v>OK</v>
      </c>
      <c r="K181" t="str">
        <f t="shared" si="8"/>
        <v>Outside</v>
      </c>
      <c r="M181" t="str">
        <f>IF(ISNA(VLOOKUP(B181,Clienti!A:A,1,FALSE)),"Lipsă","OK")</f>
        <v>OK</v>
      </c>
    </row>
    <row r="182" spans="1:13">
      <c r="A182">
        <v>1181</v>
      </c>
      <c r="B182">
        <v>92</v>
      </c>
      <c r="C182" t="s">
        <v>348</v>
      </c>
      <c r="D182">
        <v>994.64</v>
      </c>
      <c r="E182" s="2">
        <v>43222</v>
      </c>
      <c r="G182" t="str">
        <f t="shared" si="6"/>
        <v>OK</v>
      </c>
      <c r="H182" t="str">
        <f t="shared" si="7"/>
        <v>OK</v>
      </c>
      <c r="K182" t="str">
        <f t="shared" si="8"/>
        <v>Outside</v>
      </c>
      <c r="M182" t="str">
        <f>IF(ISNA(VLOOKUP(B182,Clienti!A:A,1,FALSE)),"Lipsă","OK")</f>
        <v>OK</v>
      </c>
    </row>
    <row r="183" spans="1:13">
      <c r="A183">
        <v>1182</v>
      </c>
      <c r="B183">
        <v>92</v>
      </c>
      <c r="C183" t="s">
        <v>348</v>
      </c>
      <c r="D183">
        <v>22887.39</v>
      </c>
      <c r="E183" s="2">
        <v>44511</v>
      </c>
      <c r="G183" t="str">
        <f t="shared" si="6"/>
        <v>OK</v>
      </c>
      <c r="H183" t="str">
        <f t="shared" si="7"/>
        <v>OK</v>
      </c>
      <c r="K183" t="str">
        <f t="shared" si="8"/>
        <v>Outside</v>
      </c>
      <c r="M183" t="str">
        <f>IF(ISNA(VLOOKUP(B183,Clienti!A:A,1,FALSE)),"Lipsă","OK")</f>
        <v>OK</v>
      </c>
    </row>
    <row r="184" spans="1:13">
      <c r="A184">
        <v>1183</v>
      </c>
      <c r="B184">
        <v>93</v>
      </c>
      <c r="C184" t="s">
        <v>349</v>
      </c>
      <c r="D184">
        <v>463.91</v>
      </c>
      <c r="E184" s="2">
        <v>43116</v>
      </c>
      <c r="G184" t="str">
        <f t="shared" si="6"/>
        <v>OK</v>
      </c>
      <c r="H184" t="str">
        <f t="shared" si="7"/>
        <v>OK</v>
      </c>
      <c r="K184" t="str">
        <f t="shared" si="8"/>
        <v>Outside</v>
      </c>
      <c r="M184" t="str">
        <f>IF(ISNA(VLOOKUP(B184,Clienti!A:A,1,FALSE)),"Lipsă","OK")</f>
        <v>OK</v>
      </c>
    </row>
    <row r="185" spans="1:13">
      <c r="A185">
        <v>1184</v>
      </c>
      <c r="B185">
        <v>94</v>
      </c>
      <c r="C185" t="s">
        <v>348</v>
      </c>
      <c r="D185">
        <v>41332.050000000003</v>
      </c>
      <c r="E185" s="2">
        <v>43568</v>
      </c>
      <c r="G185" t="str">
        <f t="shared" si="6"/>
        <v>OK</v>
      </c>
      <c r="H185" t="str">
        <f t="shared" si="7"/>
        <v>OK</v>
      </c>
      <c r="K185" t="str">
        <f t="shared" si="8"/>
        <v>Outside</v>
      </c>
      <c r="M185" t="str">
        <f>IF(ISNA(VLOOKUP(B185,Clienti!A:A,1,FALSE)),"Lipsă","OK")</f>
        <v>OK</v>
      </c>
    </row>
    <row r="186" spans="1:13">
      <c r="A186">
        <v>1185</v>
      </c>
      <c r="B186">
        <v>95</v>
      </c>
      <c r="C186" t="s">
        <v>348</v>
      </c>
      <c r="D186">
        <v>38217.49</v>
      </c>
      <c r="E186" s="2">
        <v>44404</v>
      </c>
      <c r="G186" t="str">
        <f t="shared" si="6"/>
        <v>OK</v>
      </c>
      <c r="H186" t="str">
        <f t="shared" si="7"/>
        <v>OK</v>
      </c>
      <c r="K186" t="str">
        <f t="shared" si="8"/>
        <v>Outside</v>
      </c>
      <c r="M186" t="str">
        <f>IF(ISNA(VLOOKUP(B186,Clienti!A:A,1,FALSE)),"Lipsă","OK")</f>
        <v>OK</v>
      </c>
    </row>
    <row r="187" spans="1:13">
      <c r="A187">
        <v>1186</v>
      </c>
      <c r="B187">
        <v>95</v>
      </c>
      <c r="C187" t="s">
        <v>348</v>
      </c>
      <c r="D187">
        <v>9387.2999999999993</v>
      </c>
      <c r="E187" s="2">
        <v>44211</v>
      </c>
      <c r="G187" t="str">
        <f t="shared" si="6"/>
        <v>OK</v>
      </c>
      <c r="H187" t="str">
        <f t="shared" si="7"/>
        <v>OK</v>
      </c>
      <c r="K187" t="str">
        <f t="shared" si="8"/>
        <v>Outside</v>
      </c>
      <c r="M187" t="str">
        <f>IF(ISNA(VLOOKUP(B187,Clienti!A:A,1,FALSE)),"Lipsă","OK")</f>
        <v>OK</v>
      </c>
    </row>
    <row r="188" spans="1:13">
      <c r="A188">
        <v>1187</v>
      </c>
      <c r="B188">
        <v>96</v>
      </c>
      <c r="C188" t="s">
        <v>349</v>
      </c>
      <c r="D188">
        <v>4109.96</v>
      </c>
      <c r="E188" s="2">
        <v>43621</v>
      </c>
      <c r="G188" t="str">
        <f t="shared" si="6"/>
        <v>OK</v>
      </c>
      <c r="H188" t="str">
        <f t="shared" si="7"/>
        <v>OK</v>
      </c>
      <c r="K188" t="str">
        <f t="shared" si="8"/>
        <v>Outside</v>
      </c>
      <c r="M188" t="str">
        <f>IF(ISNA(VLOOKUP(B188,Clienti!A:A,1,FALSE)),"Lipsă","OK")</f>
        <v>OK</v>
      </c>
    </row>
    <row r="189" spans="1:13">
      <c r="A189">
        <v>1188</v>
      </c>
      <c r="B189">
        <v>96</v>
      </c>
      <c r="C189" t="s">
        <v>349</v>
      </c>
      <c r="D189">
        <v>10194.450000000001</v>
      </c>
      <c r="E189" s="2">
        <v>43615</v>
      </c>
      <c r="G189" t="str">
        <f t="shared" si="6"/>
        <v>OK</v>
      </c>
      <c r="H189" t="str">
        <f t="shared" si="7"/>
        <v>OK</v>
      </c>
      <c r="K189" t="str">
        <f t="shared" si="8"/>
        <v>Outside</v>
      </c>
      <c r="M189" t="str">
        <f>IF(ISNA(VLOOKUP(B189,Clienti!A:A,1,FALSE)),"Lipsă","OK")</f>
        <v>OK</v>
      </c>
    </row>
    <row r="190" spans="1:13">
      <c r="A190">
        <v>1189</v>
      </c>
      <c r="B190">
        <v>97</v>
      </c>
      <c r="C190" t="s">
        <v>349</v>
      </c>
      <c r="D190">
        <v>720.94</v>
      </c>
      <c r="E190" s="2">
        <v>44708</v>
      </c>
      <c r="G190" t="str">
        <f t="shared" si="6"/>
        <v>OK</v>
      </c>
      <c r="H190" t="str">
        <f t="shared" si="7"/>
        <v>OK</v>
      </c>
      <c r="K190" t="str">
        <f t="shared" si="8"/>
        <v>OK</v>
      </c>
      <c r="M190" t="str">
        <f>IF(ISNA(VLOOKUP(B190,Clienti!A:A,1,FALSE)),"Lipsă","OK")</f>
        <v>OK</v>
      </c>
    </row>
    <row r="191" spans="1:13">
      <c r="A191">
        <v>1190</v>
      </c>
      <c r="B191">
        <v>97</v>
      </c>
      <c r="C191" t="s">
        <v>348</v>
      </c>
      <c r="D191">
        <v>18006.28</v>
      </c>
      <c r="E191" s="2">
        <v>44419</v>
      </c>
      <c r="G191" t="str">
        <f t="shared" si="6"/>
        <v>OK</v>
      </c>
      <c r="H191" t="str">
        <f t="shared" si="7"/>
        <v>OK</v>
      </c>
      <c r="K191" t="str">
        <f t="shared" si="8"/>
        <v>Outside</v>
      </c>
      <c r="M191" t="str">
        <f>IF(ISNA(VLOOKUP(B191,Clienti!A:A,1,FALSE)),"Lipsă","OK")</f>
        <v>OK</v>
      </c>
    </row>
    <row r="192" spans="1:13">
      <c r="A192">
        <v>1191</v>
      </c>
      <c r="B192">
        <v>97</v>
      </c>
      <c r="C192" t="s">
        <v>349</v>
      </c>
      <c r="D192">
        <v>23209.99</v>
      </c>
      <c r="E192" s="2">
        <v>44560</v>
      </c>
      <c r="G192" t="str">
        <f t="shared" si="6"/>
        <v>OK</v>
      </c>
      <c r="H192" t="str">
        <f t="shared" si="7"/>
        <v>OK</v>
      </c>
      <c r="K192" t="str">
        <f t="shared" si="8"/>
        <v>Outside</v>
      </c>
      <c r="M192" t="str">
        <f>IF(ISNA(VLOOKUP(B192,Clienti!A:A,1,FALSE)),"Lipsă","OK")</f>
        <v>OK</v>
      </c>
    </row>
    <row r="193" spans="1:13">
      <c r="A193">
        <v>1192</v>
      </c>
      <c r="B193">
        <v>98</v>
      </c>
      <c r="C193" t="s">
        <v>349</v>
      </c>
      <c r="D193">
        <v>36806.839999999997</v>
      </c>
      <c r="E193" s="2">
        <v>44392</v>
      </c>
      <c r="G193" t="str">
        <f t="shared" si="6"/>
        <v>OK</v>
      </c>
      <c r="H193" t="str">
        <f t="shared" si="7"/>
        <v>OK</v>
      </c>
      <c r="K193" t="str">
        <f t="shared" si="8"/>
        <v>Outside</v>
      </c>
      <c r="M193" t="str">
        <f>IF(ISNA(VLOOKUP(B193,Clienti!A:A,1,FALSE)),"Lipsă","OK")</f>
        <v>OK</v>
      </c>
    </row>
    <row r="194" spans="1:13">
      <c r="A194">
        <v>1193</v>
      </c>
      <c r="B194">
        <v>98</v>
      </c>
      <c r="C194" t="s">
        <v>349</v>
      </c>
      <c r="D194">
        <v>5635</v>
      </c>
      <c r="E194" s="2">
        <v>43315</v>
      </c>
      <c r="G194" t="str">
        <f t="shared" si="6"/>
        <v>OK</v>
      </c>
      <c r="H194" t="str">
        <f t="shared" si="7"/>
        <v>OK</v>
      </c>
      <c r="K194" t="str">
        <f t="shared" si="8"/>
        <v>Outside</v>
      </c>
      <c r="M194" t="str">
        <f>IF(ISNA(VLOOKUP(B194,Clienti!A:A,1,FALSE)),"Lipsă","OK")</f>
        <v>OK</v>
      </c>
    </row>
    <row r="195" spans="1:13">
      <c r="A195">
        <v>1194</v>
      </c>
      <c r="B195">
        <v>99</v>
      </c>
      <c r="C195" t="s">
        <v>349</v>
      </c>
      <c r="D195">
        <v>4961.33</v>
      </c>
      <c r="E195" s="2">
        <v>44758</v>
      </c>
      <c r="G195" t="str">
        <f t="shared" ref="G195:G198" si="9">IF(D195&lt;0,"Greșit","OK")</f>
        <v>OK</v>
      </c>
      <c r="H195" t="str">
        <f t="shared" ref="H195:H198" si="10">IF(ISBLANK(B195),"Lipsă","OK")</f>
        <v>OK</v>
      </c>
      <c r="K195" t="str">
        <f t="shared" ref="K195:K198" si="11">IF(AND(E195&gt;=DATE(2022,1,1),E195&lt;=DATE(2023,12,31)),"OK","Outside")</f>
        <v>OK</v>
      </c>
      <c r="M195" t="str">
        <f>IF(ISNA(VLOOKUP(B195,Clienti!A:A,1,FALSE)),"Lipsă","OK")</f>
        <v>OK</v>
      </c>
    </row>
    <row r="196" spans="1:13">
      <c r="A196">
        <v>1195</v>
      </c>
      <c r="B196">
        <v>99</v>
      </c>
      <c r="C196" t="s">
        <v>349</v>
      </c>
      <c r="D196">
        <v>12397.89</v>
      </c>
      <c r="E196" s="2">
        <v>43942</v>
      </c>
      <c r="G196" t="str">
        <f t="shared" si="9"/>
        <v>OK</v>
      </c>
      <c r="H196" t="str">
        <f t="shared" si="10"/>
        <v>OK</v>
      </c>
      <c r="K196" t="str">
        <f t="shared" si="11"/>
        <v>Outside</v>
      </c>
      <c r="M196" t="str">
        <f>IF(ISNA(VLOOKUP(B196,Clienti!A:A,1,FALSE)),"Lipsă","OK")</f>
        <v>OK</v>
      </c>
    </row>
    <row r="197" spans="1:13">
      <c r="A197">
        <v>1196</v>
      </c>
      <c r="B197">
        <v>99</v>
      </c>
      <c r="C197" t="s">
        <v>349</v>
      </c>
      <c r="D197">
        <v>21743.58</v>
      </c>
      <c r="E197" s="2">
        <v>43381</v>
      </c>
      <c r="G197" t="str">
        <f t="shared" si="9"/>
        <v>OK</v>
      </c>
      <c r="H197" t="str">
        <f t="shared" si="10"/>
        <v>OK</v>
      </c>
      <c r="K197" t="str">
        <f t="shared" si="11"/>
        <v>Outside</v>
      </c>
      <c r="M197" t="str">
        <f>IF(ISNA(VLOOKUP(B197,Clienti!A:A,1,FALSE)),"Lipsă","OK")</f>
        <v>OK</v>
      </c>
    </row>
    <row r="198" spans="1:13">
      <c r="A198">
        <v>1197</v>
      </c>
      <c r="B198">
        <v>100</v>
      </c>
      <c r="C198" t="s">
        <v>349</v>
      </c>
      <c r="D198">
        <v>8416.35</v>
      </c>
      <c r="E198" s="2">
        <v>43901</v>
      </c>
      <c r="G198" t="str">
        <f t="shared" si="9"/>
        <v>OK</v>
      </c>
      <c r="H198" t="str">
        <f t="shared" si="10"/>
        <v>OK</v>
      </c>
      <c r="K198" t="str">
        <f t="shared" si="11"/>
        <v>Outside</v>
      </c>
      <c r="M198" t="str">
        <f>IF(ISNA(VLOOKUP(B198,Clienti!A:A,1,FALSE)),"Lipsă","OK")</f>
        <v>OK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93"/>
  <sheetViews>
    <sheetView workbookViewId="0">
      <selection activeCell="C12" sqref="C12"/>
    </sheetView>
  </sheetViews>
  <sheetFormatPr defaultRowHeight="14.4"/>
  <cols>
    <col min="1" max="1" width="13.109375" customWidth="1"/>
    <col min="2" max="2" width="14.109375" customWidth="1"/>
    <col min="3" max="3" width="21.88671875" customWidth="1"/>
    <col min="5" max="5" width="19.88671875" customWidth="1"/>
    <col min="6" max="6" width="15.6640625" customWidth="1"/>
    <col min="8" max="8" width="8.88671875" customWidth="1"/>
    <col min="9" max="9" width="22.109375" customWidth="1"/>
    <col min="10" max="10" width="35.5546875" customWidth="1"/>
    <col min="11" max="11" width="22.33203125" customWidth="1"/>
    <col min="12" max="12" width="29" customWidth="1"/>
  </cols>
  <sheetData>
    <row r="1" spans="1:12">
      <c r="A1" s="1" t="s">
        <v>350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I1" s="4" t="s">
        <v>908</v>
      </c>
      <c r="J1" s="4" t="s">
        <v>909</v>
      </c>
      <c r="K1" s="4" t="s">
        <v>916</v>
      </c>
      <c r="L1" s="4" t="s">
        <v>917</v>
      </c>
    </row>
    <row r="2" spans="1:12">
      <c r="A2">
        <v>16</v>
      </c>
      <c r="B2">
        <v>1001</v>
      </c>
      <c r="D2">
        <v>3586.6</v>
      </c>
      <c r="E2" s="2">
        <v>44863</v>
      </c>
      <c r="F2" t="s">
        <v>356</v>
      </c>
      <c r="I2" t="str">
        <f>IF(D2&lt;0,"Greșit","OK")</f>
        <v>OK</v>
      </c>
      <c r="J2" t="str">
        <f>IF(ISBLANK(C2),"Lipsă","OK")</f>
        <v>Lipsă</v>
      </c>
      <c r="K2" t="str">
        <f>IF(ISNA(VLOOKUP(B2,Conturi!A:A,1,FALSE)),"Lipsă","OK")</f>
        <v>OK</v>
      </c>
      <c r="L2" t="str">
        <f>IF(ISBLANK(C2),"Retragere sau depunere",IF(ISNA(VLOOKUP(C2,Conturi!A:A,1,FALSE)),"Lipsă","OK"))</f>
        <v>Retragere sau depunere</v>
      </c>
    </row>
    <row r="3" spans="1:12">
      <c r="A3">
        <v>17</v>
      </c>
      <c r="B3">
        <v>1001</v>
      </c>
      <c r="C3">
        <v>1164</v>
      </c>
      <c r="D3">
        <v>3138.93</v>
      </c>
      <c r="E3" s="2">
        <v>44851</v>
      </c>
      <c r="F3" t="s">
        <v>357</v>
      </c>
      <c r="I3" t="str">
        <f t="shared" ref="I3:I66" si="0">IF(D3&lt;0,"Greșit","OK")</f>
        <v>OK</v>
      </c>
      <c r="J3" t="str">
        <f t="shared" ref="J3:J66" si="1">IF(ISBLANK(C3),"Lipsă","OK")</f>
        <v>OK</v>
      </c>
      <c r="K3" t="str">
        <f>IF(ISNA(VLOOKUP(B3,Conturi!A:A,1,FALSE)),"Lipsă","OK")</f>
        <v>OK</v>
      </c>
      <c r="L3" t="str">
        <f>IF(ISBLANK(C3),"Retragere sau depunere",IF(ISNA(VLOOKUP(C3,Conturi!A:A,1,FALSE)),"Lipsă","OK"))</f>
        <v>OK</v>
      </c>
    </row>
    <row r="4" spans="1:12">
      <c r="A4">
        <v>18</v>
      </c>
      <c r="B4">
        <v>1002</v>
      </c>
      <c r="D4">
        <v>2391.6799999999998</v>
      </c>
      <c r="E4" s="2">
        <v>44783</v>
      </c>
      <c r="F4" t="s">
        <v>356</v>
      </c>
      <c r="I4" t="str">
        <f t="shared" si="0"/>
        <v>OK</v>
      </c>
      <c r="J4" t="str">
        <f t="shared" si="1"/>
        <v>Lipsă</v>
      </c>
      <c r="K4" t="str">
        <f>IF(ISNA(VLOOKUP(B4,Conturi!A:A,1,FALSE)),"Lipsă","OK")</f>
        <v>OK</v>
      </c>
      <c r="L4" t="str">
        <f>IF(ISBLANK(C4),"Retragere sau depunere",IF(ISNA(VLOOKUP(C4,Conturi!A:A,1,FALSE)),"Lipsă","OK"))</f>
        <v>Retragere sau depunere</v>
      </c>
    </row>
    <row r="5" spans="1:12">
      <c r="A5">
        <v>19</v>
      </c>
      <c r="B5">
        <v>1002</v>
      </c>
      <c r="D5">
        <v>341.64</v>
      </c>
      <c r="E5" s="2">
        <v>44852</v>
      </c>
      <c r="F5" t="s">
        <v>356</v>
      </c>
      <c r="I5" t="str">
        <f t="shared" si="0"/>
        <v>OK</v>
      </c>
      <c r="J5" t="str">
        <f t="shared" si="1"/>
        <v>Lipsă</v>
      </c>
      <c r="K5" t="str">
        <f>IF(ISNA(VLOOKUP(B5,Conturi!A:A,1,FALSE)),"Lipsă","OK")</f>
        <v>OK</v>
      </c>
      <c r="L5" t="str">
        <f>IF(ISBLANK(C5),"Retragere sau depunere",IF(ISNA(VLOOKUP(C5,Conturi!A:A,1,FALSE)),"Lipsă","OK"))</f>
        <v>Retragere sau depunere</v>
      </c>
    </row>
    <row r="6" spans="1:12">
      <c r="A6">
        <v>20</v>
      </c>
      <c r="B6">
        <v>1002</v>
      </c>
      <c r="D6">
        <v>3953.93</v>
      </c>
      <c r="E6" s="2">
        <v>44724</v>
      </c>
      <c r="F6" t="s">
        <v>356</v>
      </c>
      <c r="I6" t="str">
        <f t="shared" si="0"/>
        <v>OK</v>
      </c>
      <c r="J6" t="str">
        <f t="shared" si="1"/>
        <v>Lipsă</v>
      </c>
      <c r="K6" t="str">
        <f>IF(ISNA(VLOOKUP(B6,Conturi!A:A,1,FALSE)),"Lipsă","OK")</f>
        <v>OK</v>
      </c>
      <c r="L6" t="str">
        <f>IF(ISBLANK(C6),"Retragere sau depunere",IF(ISNA(VLOOKUP(C6,Conturi!A:A,1,FALSE)),"Lipsă","OK"))</f>
        <v>Retragere sau depunere</v>
      </c>
    </row>
    <row r="7" spans="1:12">
      <c r="A7">
        <v>21</v>
      </c>
      <c r="B7">
        <v>1002</v>
      </c>
      <c r="C7">
        <v>1173</v>
      </c>
      <c r="D7">
        <v>1012.6</v>
      </c>
      <c r="E7" s="2">
        <v>44892</v>
      </c>
      <c r="F7" t="s">
        <v>357</v>
      </c>
      <c r="I7" t="str">
        <f t="shared" si="0"/>
        <v>OK</v>
      </c>
      <c r="J7" t="str">
        <f t="shared" si="1"/>
        <v>OK</v>
      </c>
      <c r="K7" t="str">
        <f>IF(ISNA(VLOOKUP(B7,Conturi!A:A,1,FALSE)),"Lipsă","OK")</f>
        <v>OK</v>
      </c>
      <c r="L7" t="str">
        <f>IF(ISBLANK(C7),"Retragere sau depunere",IF(ISNA(VLOOKUP(C7,Conturi!A:A,1,FALSE)),"Lipsă","OK"))</f>
        <v>OK</v>
      </c>
    </row>
    <row r="8" spans="1:12">
      <c r="A8">
        <v>22</v>
      </c>
      <c r="B8">
        <v>1003</v>
      </c>
      <c r="D8">
        <v>1938.01</v>
      </c>
      <c r="E8" s="2">
        <v>44872</v>
      </c>
      <c r="F8" t="s">
        <v>358</v>
      </c>
      <c r="I8" t="str">
        <f t="shared" si="0"/>
        <v>OK</v>
      </c>
      <c r="J8" t="str">
        <f t="shared" si="1"/>
        <v>Lipsă</v>
      </c>
      <c r="K8" t="str">
        <f>IF(ISNA(VLOOKUP(B8,Conturi!A:A,1,FALSE)),"Lipsă","OK")</f>
        <v>OK</v>
      </c>
      <c r="L8" t="str">
        <f>IF(ISBLANK(C8),"Retragere sau depunere",IF(ISNA(VLOOKUP(C8,Conturi!A:A,1,FALSE)),"Lipsă","OK"))</f>
        <v>Retragere sau depunere</v>
      </c>
    </row>
    <row r="9" spans="1:12">
      <c r="A9">
        <v>23</v>
      </c>
      <c r="B9">
        <v>1003</v>
      </c>
      <c r="D9">
        <v>3568.43</v>
      </c>
      <c r="E9" s="2">
        <v>44884</v>
      </c>
      <c r="F9" t="s">
        <v>356</v>
      </c>
      <c r="I9" t="str">
        <f t="shared" si="0"/>
        <v>OK</v>
      </c>
      <c r="J9" t="str">
        <f t="shared" si="1"/>
        <v>Lipsă</v>
      </c>
      <c r="K9" t="str">
        <f>IF(ISNA(VLOOKUP(B9,Conturi!A:A,1,FALSE)),"Lipsă","OK")</f>
        <v>OK</v>
      </c>
      <c r="L9" t="str">
        <f>IF(ISBLANK(C9),"Retragere sau depunere",IF(ISNA(VLOOKUP(C9,Conturi!A:A,1,FALSE)),"Lipsă","OK"))</f>
        <v>Retragere sau depunere</v>
      </c>
    </row>
    <row r="10" spans="1:12">
      <c r="A10">
        <v>24</v>
      </c>
      <c r="B10">
        <v>1003</v>
      </c>
      <c r="D10">
        <v>3214.61</v>
      </c>
      <c r="E10" s="2">
        <v>44776</v>
      </c>
      <c r="F10" t="s">
        <v>356</v>
      </c>
      <c r="I10" t="str">
        <f t="shared" si="0"/>
        <v>OK</v>
      </c>
      <c r="J10" t="str">
        <f t="shared" si="1"/>
        <v>Lipsă</v>
      </c>
      <c r="K10" t="str">
        <f>IF(ISNA(VLOOKUP(B10,Conturi!A:A,1,FALSE)),"Lipsă","OK")</f>
        <v>OK</v>
      </c>
      <c r="L10" t="str">
        <f>IF(ISBLANK(C10),"Retragere sau depunere",IF(ISNA(VLOOKUP(C10,Conturi!A:A,1,FALSE)),"Lipsă","OK"))</f>
        <v>Retragere sau depunere</v>
      </c>
    </row>
    <row r="11" spans="1:12">
      <c r="A11">
        <v>25</v>
      </c>
      <c r="B11">
        <v>1004</v>
      </c>
      <c r="C11">
        <v>1166</v>
      </c>
      <c r="D11">
        <v>4123.6899999999996</v>
      </c>
      <c r="E11" s="2">
        <v>44625</v>
      </c>
      <c r="F11" t="s">
        <v>357</v>
      </c>
      <c r="I11" t="str">
        <f t="shared" si="0"/>
        <v>OK</v>
      </c>
      <c r="J11" t="str">
        <f t="shared" si="1"/>
        <v>OK</v>
      </c>
      <c r="K11" t="str">
        <f>IF(ISNA(VLOOKUP(B11,Conturi!A:A,1,FALSE)),"Lipsă","OK")</f>
        <v>OK</v>
      </c>
      <c r="L11" t="str">
        <f>IF(ISBLANK(C11),"Retragere sau depunere",IF(ISNA(VLOOKUP(C11,Conturi!A:A,1,FALSE)),"Lipsă","OK"))</f>
        <v>OK</v>
      </c>
    </row>
    <row r="12" spans="1:12">
      <c r="A12">
        <v>26</v>
      </c>
      <c r="B12">
        <v>1004</v>
      </c>
      <c r="D12">
        <v>3876.02</v>
      </c>
      <c r="E12" s="2">
        <v>44675</v>
      </c>
      <c r="F12" t="s">
        <v>358</v>
      </c>
      <c r="I12" t="str">
        <f t="shared" si="0"/>
        <v>OK</v>
      </c>
      <c r="J12" t="str">
        <f t="shared" si="1"/>
        <v>Lipsă</v>
      </c>
      <c r="K12" t="str">
        <f>IF(ISNA(VLOOKUP(B12,Conturi!A:A,1,FALSE)),"Lipsă","OK")</f>
        <v>OK</v>
      </c>
      <c r="L12" t="str">
        <f>IF(ISBLANK(C12),"Retragere sau depunere",IF(ISNA(VLOOKUP(C12,Conturi!A:A,1,FALSE)),"Lipsă","OK"))</f>
        <v>Retragere sau depunere</v>
      </c>
    </row>
    <row r="13" spans="1:12">
      <c r="A13">
        <v>27</v>
      </c>
      <c r="B13">
        <v>1004</v>
      </c>
      <c r="C13">
        <v>1123</v>
      </c>
      <c r="D13">
        <v>2598.8000000000002</v>
      </c>
      <c r="E13" s="2">
        <v>44914</v>
      </c>
      <c r="F13" t="s">
        <v>357</v>
      </c>
      <c r="I13" t="str">
        <f t="shared" si="0"/>
        <v>OK</v>
      </c>
      <c r="J13" t="str">
        <f t="shared" si="1"/>
        <v>OK</v>
      </c>
      <c r="K13" t="str">
        <f>IF(ISNA(VLOOKUP(B13,Conturi!A:A,1,FALSE)),"Lipsă","OK")</f>
        <v>OK</v>
      </c>
      <c r="L13" t="str">
        <f>IF(ISBLANK(C13),"Retragere sau depunere",IF(ISNA(VLOOKUP(C13,Conturi!A:A,1,FALSE)),"Lipsă","OK"))</f>
        <v>OK</v>
      </c>
    </row>
    <row r="14" spans="1:12">
      <c r="A14">
        <v>28</v>
      </c>
      <c r="B14">
        <v>1004</v>
      </c>
      <c r="D14">
        <v>2497.7199999999998</v>
      </c>
      <c r="E14" s="2">
        <v>44786</v>
      </c>
      <c r="F14" t="s">
        <v>358</v>
      </c>
      <c r="I14" t="str">
        <f t="shared" si="0"/>
        <v>OK</v>
      </c>
      <c r="J14" t="str">
        <f t="shared" si="1"/>
        <v>Lipsă</v>
      </c>
      <c r="K14" t="str">
        <f>IF(ISNA(VLOOKUP(B14,Conturi!A:A,1,FALSE)),"Lipsă","OK")</f>
        <v>OK</v>
      </c>
      <c r="L14" t="str">
        <f>IF(ISBLANK(C14),"Retragere sau depunere",IF(ISNA(VLOOKUP(C14,Conturi!A:A,1,FALSE)),"Lipsă","OK"))</f>
        <v>Retragere sau depunere</v>
      </c>
    </row>
    <row r="15" spans="1:12">
      <c r="A15">
        <v>29</v>
      </c>
      <c r="B15">
        <v>1005</v>
      </c>
      <c r="D15">
        <v>374.46</v>
      </c>
      <c r="E15" s="2">
        <v>44593</v>
      </c>
      <c r="F15" t="s">
        <v>358</v>
      </c>
      <c r="I15" t="str">
        <f t="shared" si="0"/>
        <v>OK</v>
      </c>
      <c r="J15" t="str">
        <f t="shared" si="1"/>
        <v>Lipsă</v>
      </c>
      <c r="K15" t="str">
        <f>IF(ISNA(VLOOKUP(B15,Conturi!A:A,1,FALSE)),"Lipsă","OK")</f>
        <v>OK</v>
      </c>
      <c r="L15" t="str">
        <f>IF(ISBLANK(C15),"Retragere sau depunere",IF(ISNA(VLOOKUP(C15,Conturi!A:A,1,FALSE)),"Lipsă","OK"))</f>
        <v>Retragere sau depunere</v>
      </c>
    </row>
    <row r="16" spans="1:12">
      <c r="A16">
        <v>30</v>
      </c>
      <c r="B16">
        <v>1005</v>
      </c>
      <c r="C16">
        <v>1102</v>
      </c>
      <c r="D16">
        <v>1553.21</v>
      </c>
      <c r="E16" s="2">
        <v>44618</v>
      </c>
      <c r="F16" t="s">
        <v>357</v>
      </c>
      <c r="I16" t="str">
        <f t="shared" si="0"/>
        <v>OK</v>
      </c>
      <c r="J16" t="str">
        <f t="shared" si="1"/>
        <v>OK</v>
      </c>
      <c r="K16" t="str">
        <f>IF(ISNA(VLOOKUP(B16,Conturi!A:A,1,FALSE)),"Lipsă","OK")</f>
        <v>OK</v>
      </c>
      <c r="L16" t="str">
        <f>IF(ISBLANK(C16),"Retragere sau depunere",IF(ISNA(VLOOKUP(C16,Conturi!A:A,1,FALSE)),"Lipsă","OK"))</f>
        <v>OK</v>
      </c>
    </row>
    <row r="17" spans="1:12">
      <c r="A17">
        <v>31</v>
      </c>
      <c r="B17">
        <v>1005</v>
      </c>
      <c r="C17">
        <v>1194</v>
      </c>
      <c r="D17">
        <v>2855.63</v>
      </c>
      <c r="E17" s="2">
        <v>44887</v>
      </c>
      <c r="F17" t="s">
        <v>357</v>
      </c>
      <c r="I17" t="str">
        <f t="shared" si="0"/>
        <v>OK</v>
      </c>
      <c r="J17" t="str">
        <f t="shared" si="1"/>
        <v>OK</v>
      </c>
      <c r="K17" t="str">
        <f>IF(ISNA(VLOOKUP(B17,Conturi!A:A,1,FALSE)),"Lipsă","OK")</f>
        <v>OK</v>
      </c>
      <c r="L17" t="str">
        <f>IF(ISBLANK(C17),"Retragere sau depunere",IF(ISNA(VLOOKUP(C17,Conturi!A:A,1,FALSE)),"Lipsă","OK"))</f>
        <v>OK</v>
      </c>
    </row>
    <row r="18" spans="1:12">
      <c r="A18">
        <v>32</v>
      </c>
      <c r="B18">
        <v>1005</v>
      </c>
      <c r="C18">
        <v>1021</v>
      </c>
      <c r="D18">
        <v>4578.99</v>
      </c>
      <c r="E18" s="2">
        <v>44870</v>
      </c>
      <c r="F18" t="s">
        <v>357</v>
      </c>
      <c r="I18" t="str">
        <f t="shared" si="0"/>
        <v>OK</v>
      </c>
      <c r="J18" t="str">
        <f t="shared" si="1"/>
        <v>OK</v>
      </c>
      <c r="K18" t="str">
        <f>IF(ISNA(VLOOKUP(B18,Conturi!A:A,1,FALSE)),"Lipsă","OK")</f>
        <v>OK</v>
      </c>
      <c r="L18" t="str">
        <f>IF(ISBLANK(C18),"Retragere sau depunere",IF(ISNA(VLOOKUP(C18,Conturi!A:A,1,FALSE)),"Lipsă","OK"))</f>
        <v>OK</v>
      </c>
    </row>
    <row r="19" spans="1:12">
      <c r="A19">
        <v>33</v>
      </c>
      <c r="B19">
        <v>1006</v>
      </c>
      <c r="D19">
        <v>3179.09</v>
      </c>
      <c r="E19" s="2">
        <v>44868</v>
      </c>
      <c r="F19" t="s">
        <v>356</v>
      </c>
      <c r="I19" t="str">
        <f t="shared" si="0"/>
        <v>OK</v>
      </c>
      <c r="J19" t="str">
        <f t="shared" si="1"/>
        <v>Lipsă</v>
      </c>
      <c r="K19" t="str">
        <f>IF(ISNA(VLOOKUP(B19,Conturi!A:A,1,FALSE)),"Lipsă","OK")</f>
        <v>OK</v>
      </c>
      <c r="L19" t="str">
        <f>IF(ISBLANK(C19),"Retragere sau depunere",IF(ISNA(VLOOKUP(C19,Conturi!A:A,1,FALSE)),"Lipsă","OK"))</f>
        <v>Retragere sau depunere</v>
      </c>
    </row>
    <row r="20" spans="1:12">
      <c r="A20">
        <v>34</v>
      </c>
      <c r="B20">
        <v>1006</v>
      </c>
      <c r="D20">
        <v>2303.2600000000002</v>
      </c>
      <c r="E20" s="2">
        <v>44638</v>
      </c>
      <c r="F20" t="s">
        <v>356</v>
      </c>
      <c r="I20" t="str">
        <f t="shared" si="0"/>
        <v>OK</v>
      </c>
      <c r="J20" t="str">
        <f t="shared" si="1"/>
        <v>Lipsă</v>
      </c>
      <c r="K20" t="str">
        <f>IF(ISNA(VLOOKUP(B20,Conturi!A:A,1,FALSE)),"Lipsă","OK")</f>
        <v>OK</v>
      </c>
      <c r="L20" t="str">
        <f>IF(ISBLANK(C20),"Retragere sau depunere",IF(ISNA(VLOOKUP(C20,Conturi!A:A,1,FALSE)),"Lipsă","OK"))</f>
        <v>Retragere sau depunere</v>
      </c>
    </row>
    <row r="21" spans="1:12">
      <c r="A21">
        <v>35</v>
      </c>
      <c r="B21">
        <v>1006</v>
      </c>
      <c r="D21">
        <v>4936.95</v>
      </c>
      <c r="E21" s="2">
        <v>44570</v>
      </c>
      <c r="F21" t="s">
        <v>356</v>
      </c>
      <c r="I21" t="str">
        <f t="shared" si="0"/>
        <v>OK</v>
      </c>
      <c r="J21" t="str">
        <f t="shared" si="1"/>
        <v>Lipsă</v>
      </c>
      <c r="K21" t="str">
        <f>IF(ISNA(VLOOKUP(B21,Conturi!A:A,1,FALSE)),"Lipsă","OK")</f>
        <v>OK</v>
      </c>
      <c r="L21" t="str">
        <f>IF(ISBLANK(C21),"Retragere sau depunere",IF(ISNA(VLOOKUP(C21,Conturi!A:A,1,FALSE)),"Lipsă","OK"))</f>
        <v>Retragere sau depunere</v>
      </c>
    </row>
    <row r="22" spans="1:12">
      <c r="A22">
        <v>36</v>
      </c>
      <c r="B22">
        <v>1007</v>
      </c>
      <c r="C22">
        <v>1071</v>
      </c>
      <c r="D22">
        <v>815.24</v>
      </c>
      <c r="E22" s="2">
        <v>44752</v>
      </c>
      <c r="F22" t="s">
        <v>357</v>
      </c>
      <c r="I22" t="str">
        <f t="shared" si="0"/>
        <v>OK</v>
      </c>
      <c r="J22" t="str">
        <f t="shared" si="1"/>
        <v>OK</v>
      </c>
      <c r="K22" t="str">
        <f>IF(ISNA(VLOOKUP(B22,Conturi!A:A,1,FALSE)),"Lipsă","OK")</f>
        <v>OK</v>
      </c>
      <c r="L22" t="str">
        <f>IF(ISBLANK(C22),"Retragere sau depunere",IF(ISNA(VLOOKUP(C22,Conturi!A:A,1,FALSE)),"Lipsă","OK"))</f>
        <v>OK</v>
      </c>
    </row>
    <row r="23" spans="1:12">
      <c r="A23">
        <v>37</v>
      </c>
      <c r="B23">
        <v>1007</v>
      </c>
      <c r="D23">
        <v>4548.41</v>
      </c>
      <c r="E23" s="2">
        <v>44593</v>
      </c>
      <c r="F23" t="s">
        <v>356</v>
      </c>
      <c r="I23" t="str">
        <f t="shared" si="0"/>
        <v>OK</v>
      </c>
      <c r="J23" t="str">
        <f t="shared" si="1"/>
        <v>Lipsă</v>
      </c>
      <c r="K23" t="str">
        <f>IF(ISNA(VLOOKUP(B23,Conturi!A:A,1,FALSE)),"Lipsă","OK")</f>
        <v>OK</v>
      </c>
      <c r="L23" t="str">
        <f>IF(ISBLANK(C23),"Retragere sau depunere",IF(ISNA(VLOOKUP(C23,Conturi!A:A,1,FALSE)),"Lipsă","OK"))</f>
        <v>Retragere sau depunere</v>
      </c>
    </row>
    <row r="24" spans="1:12">
      <c r="A24">
        <v>38</v>
      </c>
      <c r="B24">
        <v>1008</v>
      </c>
      <c r="D24">
        <v>648.63</v>
      </c>
      <c r="E24" s="2">
        <v>44726</v>
      </c>
      <c r="F24" t="s">
        <v>356</v>
      </c>
      <c r="I24" t="str">
        <f t="shared" si="0"/>
        <v>OK</v>
      </c>
      <c r="J24" t="str">
        <f t="shared" si="1"/>
        <v>Lipsă</v>
      </c>
      <c r="K24" t="str">
        <f>IF(ISNA(VLOOKUP(B24,Conturi!A:A,1,FALSE)),"Lipsă","OK")</f>
        <v>OK</v>
      </c>
      <c r="L24" t="str">
        <f>IF(ISBLANK(C24),"Retragere sau depunere",IF(ISNA(VLOOKUP(C24,Conturi!A:A,1,FALSE)),"Lipsă","OK"))</f>
        <v>Retragere sau depunere</v>
      </c>
    </row>
    <row r="25" spans="1:12">
      <c r="A25">
        <v>39</v>
      </c>
      <c r="B25">
        <v>1008</v>
      </c>
      <c r="D25">
        <v>473.67</v>
      </c>
      <c r="E25" s="2">
        <v>44876</v>
      </c>
      <c r="F25" t="s">
        <v>358</v>
      </c>
      <c r="I25" t="str">
        <f t="shared" si="0"/>
        <v>OK</v>
      </c>
      <c r="J25" t="str">
        <f t="shared" si="1"/>
        <v>Lipsă</v>
      </c>
      <c r="K25" t="str">
        <f>IF(ISNA(VLOOKUP(B25,Conturi!A:A,1,FALSE)),"Lipsă","OK")</f>
        <v>OK</v>
      </c>
      <c r="L25" t="str">
        <f>IF(ISBLANK(C25),"Retragere sau depunere",IF(ISNA(VLOOKUP(C25,Conturi!A:A,1,FALSE)),"Lipsă","OK"))</f>
        <v>Retragere sau depunere</v>
      </c>
    </row>
    <row r="26" spans="1:12">
      <c r="A26">
        <v>40</v>
      </c>
      <c r="B26">
        <v>1009</v>
      </c>
      <c r="D26">
        <v>2700.94</v>
      </c>
      <c r="E26" s="2">
        <v>44854</v>
      </c>
      <c r="F26" t="s">
        <v>358</v>
      </c>
      <c r="I26" t="str">
        <f t="shared" si="0"/>
        <v>OK</v>
      </c>
      <c r="J26" t="str">
        <f t="shared" si="1"/>
        <v>Lipsă</v>
      </c>
      <c r="K26" t="str">
        <f>IF(ISNA(VLOOKUP(B26,Conturi!A:A,1,FALSE)),"Lipsă","OK")</f>
        <v>OK</v>
      </c>
      <c r="L26" t="str">
        <f>IF(ISBLANK(C26),"Retragere sau depunere",IF(ISNA(VLOOKUP(C26,Conturi!A:A,1,FALSE)),"Lipsă","OK"))</f>
        <v>Retragere sau depunere</v>
      </c>
    </row>
    <row r="27" spans="1:12">
      <c r="A27">
        <v>41</v>
      </c>
      <c r="B27">
        <v>1009</v>
      </c>
      <c r="C27">
        <v>1012</v>
      </c>
      <c r="D27">
        <v>3393.6</v>
      </c>
      <c r="E27" s="2">
        <v>44717</v>
      </c>
      <c r="F27" t="s">
        <v>357</v>
      </c>
      <c r="I27" t="str">
        <f t="shared" si="0"/>
        <v>OK</v>
      </c>
      <c r="J27" t="str">
        <f t="shared" si="1"/>
        <v>OK</v>
      </c>
      <c r="K27" t="str">
        <f>IF(ISNA(VLOOKUP(B27,Conturi!A:A,1,FALSE)),"Lipsă","OK")</f>
        <v>OK</v>
      </c>
      <c r="L27" t="str">
        <f>IF(ISBLANK(C27),"Retragere sau depunere",IF(ISNA(VLOOKUP(C27,Conturi!A:A,1,FALSE)),"Lipsă","OK"))</f>
        <v>OK</v>
      </c>
    </row>
    <row r="28" spans="1:12">
      <c r="A28">
        <v>42</v>
      </c>
      <c r="B28">
        <v>1009</v>
      </c>
      <c r="D28">
        <v>1810.23</v>
      </c>
      <c r="E28" s="2">
        <v>44573</v>
      </c>
      <c r="F28" t="s">
        <v>358</v>
      </c>
      <c r="I28" t="str">
        <f t="shared" si="0"/>
        <v>OK</v>
      </c>
      <c r="J28" t="str">
        <f t="shared" si="1"/>
        <v>Lipsă</v>
      </c>
      <c r="K28" t="str">
        <f>IF(ISNA(VLOOKUP(B28,Conturi!A:A,1,FALSE)),"Lipsă","OK")</f>
        <v>OK</v>
      </c>
      <c r="L28" t="str">
        <f>IF(ISBLANK(C28),"Retragere sau depunere",IF(ISNA(VLOOKUP(C28,Conturi!A:A,1,FALSE)),"Lipsă","OK"))</f>
        <v>Retragere sau depunere</v>
      </c>
    </row>
    <row r="29" spans="1:12">
      <c r="A29">
        <v>43</v>
      </c>
      <c r="B29">
        <v>1009</v>
      </c>
      <c r="C29">
        <v>1085</v>
      </c>
      <c r="D29">
        <v>4110.6899999999996</v>
      </c>
      <c r="E29" s="2">
        <v>44775</v>
      </c>
      <c r="F29" t="s">
        <v>357</v>
      </c>
      <c r="I29" t="str">
        <f t="shared" si="0"/>
        <v>OK</v>
      </c>
      <c r="J29" t="str">
        <f t="shared" si="1"/>
        <v>OK</v>
      </c>
      <c r="K29" t="str">
        <f>IF(ISNA(VLOOKUP(B29,Conturi!A:A,1,FALSE)),"Lipsă","OK")</f>
        <v>OK</v>
      </c>
      <c r="L29" t="str">
        <f>IF(ISBLANK(C29),"Retragere sau depunere",IF(ISNA(VLOOKUP(C29,Conturi!A:A,1,FALSE)),"Lipsă","OK"))</f>
        <v>OK</v>
      </c>
    </row>
    <row r="30" spans="1:12">
      <c r="A30">
        <v>44</v>
      </c>
      <c r="B30">
        <v>1010</v>
      </c>
      <c r="D30">
        <v>1048.1400000000001</v>
      </c>
      <c r="E30" s="2">
        <v>44594</v>
      </c>
      <c r="F30" t="s">
        <v>356</v>
      </c>
      <c r="I30" t="str">
        <f t="shared" si="0"/>
        <v>OK</v>
      </c>
      <c r="J30" t="str">
        <f t="shared" si="1"/>
        <v>Lipsă</v>
      </c>
      <c r="K30" t="str">
        <f>IF(ISNA(VLOOKUP(B30,Conturi!A:A,1,FALSE)),"Lipsă","OK")</f>
        <v>OK</v>
      </c>
      <c r="L30" t="str">
        <f>IF(ISBLANK(C30),"Retragere sau depunere",IF(ISNA(VLOOKUP(C30,Conturi!A:A,1,FALSE)),"Lipsă","OK"))</f>
        <v>Retragere sau depunere</v>
      </c>
    </row>
    <row r="31" spans="1:12">
      <c r="A31">
        <v>45</v>
      </c>
      <c r="B31">
        <v>1010</v>
      </c>
      <c r="D31">
        <v>1136.53</v>
      </c>
      <c r="E31" s="2">
        <v>44924</v>
      </c>
      <c r="F31" t="s">
        <v>356</v>
      </c>
      <c r="I31" t="str">
        <f t="shared" si="0"/>
        <v>OK</v>
      </c>
      <c r="J31" t="str">
        <f t="shared" si="1"/>
        <v>Lipsă</v>
      </c>
      <c r="K31" t="str">
        <f>IF(ISNA(VLOOKUP(B31,Conturi!A:A,1,FALSE)),"Lipsă","OK")</f>
        <v>OK</v>
      </c>
      <c r="L31" t="str">
        <f>IF(ISBLANK(C31),"Retragere sau depunere",IF(ISNA(VLOOKUP(C31,Conturi!A:A,1,FALSE)),"Lipsă","OK"))</f>
        <v>Retragere sau depunere</v>
      </c>
    </row>
    <row r="32" spans="1:12">
      <c r="A32">
        <v>46</v>
      </c>
      <c r="B32">
        <v>1010</v>
      </c>
      <c r="D32">
        <v>1678.89</v>
      </c>
      <c r="E32" s="2">
        <v>44703</v>
      </c>
      <c r="F32" t="s">
        <v>358</v>
      </c>
      <c r="I32" t="str">
        <f t="shared" si="0"/>
        <v>OK</v>
      </c>
      <c r="J32" t="str">
        <f t="shared" si="1"/>
        <v>Lipsă</v>
      </c>
      <c r="K32" t="str">
        <f>IF(ISNA(VLOOKUP(B32,Conturi!A:A,1,FALSE)),"Lipsă","OK")</f>
        <v>OK</v>
      </c>
      <c r="L32" t="str">
        <f>IF(ISBLANK(C32),"Retragere sau depunere",IF(ISNA(VLOOKUP(C32,Conturi!A:A,1,FALSE)),"Lipsă","OK"))</f>
        <v>Retragere sau depunere</v>
      </c>
    </row>
    <row r="33" spans="1:12">
      <c r="A33">
        <v>47</v>
      </c>
      <c r="B33">
        <v>1010</v>
      </c>
      <c r="C33">
        <v>1023</v>
      </c>
      <c r="D33">
        <v>2894.07</v>
      </c>
      <c r="E33" s="2">
        <v>44709</v>
      </c>
      <c r="F33" t="s">
        <v>357</v>
      </c>
      <c r="I33" t="str">
        <f t="shared" si="0"/>
        <v>OK</v>
      </c>
      <c r="J33" t="str">
        <f t="shared" si="1"/>
        <v>OK</v>
      </c>
      <c r="K33" t="str">
        <f>IF(ISNA(VLOOKUP(B33,Conturi!A:A,1,FALSE)),"Lipsă","OK")</f>
        <v>OK</v>
      </c>
      <c r="L33" t="str">
        <f>IF(ISBLANK(C33),"Retragere sau depunere",IF(ISNA(VLOOKUP(C33,Conturi!A:A,1,FALSE)),"Lipsă","OK"))</f>
        <v>OK</v>
      </c>
    </row>
    <row r="34" spans="1:12">
      <c r="A34">
        <v>48</v>
      </c>
      <c r="B34">
        <v>1010</v>
      </c>
      <c r="C34">
        <v>1112</v>
      </c>
      <c r="D34">
        <v>308.23</v>
      </c>
      <c r="E34" s="2">
        <v>44725</v>
      </c>
      <c r="F34" t="s">
        <v>357</v>
      </c>
      <c r="I34" t="str">
        <f t="shared" si="0"/>
        <v>OK</v>
      </c>
      <c r="J34" t="str">
        <f t="shared" si="1"/>
        <v>OK</v>
      </c>
      <c r="K34" t="str">
        <f>IF(ISNA(VLOOKUP(B34,Conturi!A:A,1,FALSE)),"Lipsă","OK")</f>
        <v>OK</v>
      </c>
      <c r="L34" t="str">
        <f>IF(ISBLANK(C34),"Retragere sau depunere",IF(ISNA(VLOOKUP(C34,Conturi!A:A,1,FALSE)),"Lipsă","OK"))</f>
        <v>OK</v>
      </c>
    </row>
    <row r="35" spans="1:12">
      <c r="A35">
        <v>49</v>
      </c>
      <c r="B35">
        <v>1011</v>
      </c>
      <c r="D35">
        <v>1553.44</v>
      </c>
      <c r="E35" s="2">
        <v>44654</v>
      </c>
      <c r="F35" t="s">
        <v>358</v>
      </c>
      <c r="I35" t="str">
        <f t="shared" si="0"/>
        <v>OK</v>
      </c>
      <c r="J35" t="str">
        <f t="shared" si="1"/>
        <v>Lipsă</v>
      </c>
      <c r="K35" t="str">
        <f>IF(ISNA(VLOOKUP(B35,Conturi!A:A,1,FALSE)),"Lipsă","OK")</f>
        <v>OK</v>
      </c>
      <c r="L35" t="str">
        <f>IF(ISBLANK(C35),"Retragere sau depunere",IF(ISNA(VLOOKUP(C35,Conturi!A:A,1,FALSE)),"Lipsă","OK"))</f>
        <v>Retragere sau depunere</v>
      </c>
    </row>
    <row r="36" spans="1:12">
      <c r="A36">
        <v>50</v>
      </c>
      <c r="B36">
        <v>1011</v>
      </c>
      <c r="D36">
        <v>681.61</v>
      </c>
      <c r="E36" s="2">
        <v>44731</v>
      </c>
      <c r="F36" t="s">
        <v>356</v>
      </c>
      <c r="I36" t="str">
        <f t="shared" si="0"/>
        <v>OK</v>
      </c>
      <c r="J36" t="str">
        <f t="shared" si="1"/>
        <v>Lipsă</v>
      </c>
      <c r="K36" t="str">
        <f>IF(ISNA(VLOOKUP(B36,Conturi!A:A,1,FALSE)),"Lipsă","OK")</f>
        <v>OK</v>
      </c>
      <c r="L36" t="str">
        <f>IF(ISBLANK(C36),"Retragere sau depunere",IF(ISNA(VLOOKUP(C36,Conturi!A:A,1,FALSE)),"Lipsă","OK"))</f>
        <v>Retragere sau depunere</v>
      </c>
    </row>
    <row r="37" spans="1:12">
      <c r="A37">
        <v>51</v>
      </c>
      <c r="B37">
        <v>1011</v>
      </c>
      <c r="D37">
        <v>4684.6099999999997</v>
      </c>
      <c r="E37" s="2">
        <v>44731</v>
      </c>
      <c r="F37" t="s">
        <v>356</v>
      </c>
      <c r="I37" t="str">
        <f t="shared" si="0"/>
        <v>OK</v>
      </c>
      <c r="J37" t="str">
        <f t="shared" si="1"/>
        <v>Lipsă</v>
      </c>
      <c r="K37" t="str">
        <f>IF(ISNA(VLOOKUP(B37,Conturi!A:A,1,FALSE)),"Lipsă","OK")</f>
        <v>OK</v>
      </c>
      <c r="L37" t="str">
        <f>IF(ISBLANK(C37),"Retragere sau depunere",IF(ISNA(VLOOKUP(C37,Conturi!A:A,1,FALSE)),"Lipsă","OK"))</f>
        <v>Retragere sau depunere</v>
      </c>
    </row>
    <row r="38" spans="1:12">
      <c r="A38">
        <v>52</v>
      </c>
      <c r="B38">
        <v>1012</v>
      </c>
      <c r="C38">
        <v>1139</v>
      </c>
      <c r="D38">
        <v>1378.35</v>
      </c>
      <c r="E38" s="2">
        <v>44829</v>
      </c>
      <c r="F38" t="s">
        <v>357</v>
      </c>
      <c r="I38" t="str">
        <f t="shared" si="0"/>
        <v>OK</v>
      </c>
      <c r="J38" t="str">
        <f t="shared" si="1"/>
        <v>OK</v>
      </c>
      <c r="K38" t="str">
        <f>IF(ISNA(VLOOKUP(B38,Conturi!A:A,1,FALSE)),"Lipsă","OK")</f>
        <v>OK</v>
      </c>
      <c r="L38" t="str">
        <f>IF(ISBLANK(C38),"Retragere sau depunere",IF(ISNA(VLOOKUP(C38,Conturi!A:A,1,FALSE)),"Lipsă","OK"))</f>
        <v>OK</v>
      </c>
    </row>
    <row r="39" spans="1:12">
      <c r="A39">
        <v>53</v>
      </c>
      <c r="B39">
        <v>1013</v>
      </c>
      <c r="D39">
        <v>1887.52</v>
      </c>
      <c r="E39" s="2">
        <v>44885</v>
      </c>
      <c r="F39" t="s">
        <v>358</v>
      </c>
      <c r="I39" t="str">
        <f t="shared" si="0"/>
        <v>OK</v>
      </c>
      <c r="J39" t="str">
        <f t="shared" si="1"/>
        <v>Lipsă</v>
      </c>
      <c r="K39" t="str">
        <f>IF(ISNA(VLOOKUP(B39,Conturi!A:A,1,FALSE)),"Lipsă","OK")</f>
        <v>OK</v>
      </c>
      <c r="L39" t="str">
        <f>IF(ISBLANK(C39),"Retragere sau depunere",IF(ISNA(VLOOKUP(C39,Conturi!A:A,1,FALSE)),"Lipsă","OK"))</f>
        <v>Retragere sau depunere</v>
      </c>
    </row>
    <row r="40" spans="1:12">
      <c r="A40">
        <v>54</v>
      </c>
      <c r="B40">
        <v>1013</v>
      </c>
      <c r="D40">
        <v>3974.45</v>
      </c>
      <c r="E40" s="2">
        <v>44891</v>
      </c>
      <c r="F40" t="s">
        <v>358</v>
      </c>
      <c r="I40" t="str">
        <f t="shared" si="0"/>
        <v>OK</v>
      </c>
      <c r="J40" t="str">
        <f t="shared" si="1"/>
        <v>Lipsă</v>
      </c>
      <c r="K40" t="str">
        <f>IF(ISNA(VLOOKUP(B40,Conturi!A:A,1,FALSE)),"Lipsă","OK")</f>
        <v>OK</v>
      </c>
      <c r="L40" t="str">
        <f>IF(ISBLANK(C40),"Retragere sau depunere",IF(ISNA(VLOOKUP(C40,Conturi!A:A,1,FALSE)),"Lipsă","OK"))</f>
        <v>Retragere sau depunere</v>
      </c>
    </row>
    <row r="41" spans="1:12">
      <c r="A41">
        <v>55</v>
      </c>
      <c r="B41">
        <v>1014</v>
      </c>
      <c r="D41">
        <v>1378.92</v>
      </c>
      <c r="E41" s="2">
        <v>44917</v>
      </c>
      <c r="F41" t="s">
        <v>358</v>
      </c>
      <c r="I41" t="str">
        <f t="shared" si="0"/>
        <v>OK</v>
      </c>
      <c r="J41" t="str">
        <f t="shared" si="1"/>
        <v>Lipsă</v>
      </c>
      <c r="K41" t="str">
        <f>IF(ISNA(VLOOKUP(B41,Conturi!A:A,1,FALSE)),"Lipsă","OK")</f>
        <v>OK</v>
      </c>
      <c r="L41" t="str">
        <f>IF(ISBLANK(C41),"Retragere sau depunere",IF(ISNA(VLOOKUP(C41,Conturi!A:A,1,FALSE)),"Lipsă","OK"))</f>
        <v>Retragere sau depunere</v>
      </c>
    </row>
    <row r="42" spans="1:12">
      <c r="A42">
        <v>56</v>
      </c>
      <c r="B42">
        <v>1014</v>
      </c>
      <c r="D42">
        <v>3988.15</v>
      </c>
      <c r="E42" s="2">
        <v>44648</v>
      </c>
      <c r="F42" t="s">
        <v>356</v>
      </c>
      <c r="I42" t="str">
        <f t="shared" si="0"/>
        <v>OK</v>
      </c>
      <c r="J42" t="str">
        <f t="shared" si="1"/>
        <v>Lipsă</v>
      </c>
      <c r="K42" t="str">
        <f>IF(ISNA(VLOOKUP(B42,Conturi!A:A,1,FALSE)),"Lipsă","OK")</f>
        <v>OK</v>
      </c>
      <c r="L42" t="str">
        <f>IF(ISBLANK(C42),"Retragere sau depunere",IF(ISNA(VLOOKUP(C42,Conturi!A:A,1,FALSE)),"Lipsă","OK"))</f>
        <v>Retragere sau depunere</v>
      </c>
    </row>
    <row r="43" spans="1:12">
      <c r="A43">
        <v>57</v>
      </c>
      <c r="B43">
        <v>1015</v>
      </c>
      <c r="D43">
        <v>4038.01</v>
      </c>
      <c r="E43" s="2">
        <v>44724</v>
      </c>
      <c r="F43" t="s">
        <v>356</v>
      </c>
      <c r="I43" t="str">
        <f t="shared" si="0"/>
        <v>OK</v>
      </c>
      <c r="J43" t="str">
        <f t="shared" si="1"/>
        <v>Lipsă</v>
      </c>
      <c r="K43" t="str">
        <f>IF(ISNA(VLOOKUP(B43,Conturi!A:A,1,FALSE)),"Lipsă","OK")</f>
        <v>OK</v>
      </c>
      <c r="L43" t="str">
        <f>IF(ISBLANK(C43),"Retragere sau depunere",IF(ISNA(VLOOKUP(C43,Conturi!A:A,1,FALSE)),"Lipsă","OK"))</f>
        <v>Retragere sau depunere</v>
      </c>
    </row>
    <row r="44" spans="1:12">
      <c r="A44">
        <v>58</v>
      </c>
      <c r="B44">
        <v>1015</v>
      </c>
      <c r="D44">
        <v>732.82</v>
      </c>
      <c r="E44" s="2">
        <v>44856</v>
      </c>
      <c r="F44" t="s">
        <v>358</v>
      </c>
      <c r="I44" t="str">
        <f t="shared" si="0"/>
        <v>OK</v>
      </c>
      <c r="J44" t="str">
        <f t="shared" si="1"/>
        <v>Lipsă</v>
      </c>
      <c r="K44" t="str">
        <f>IF(ISNA(VLOOKUP(B44,Conturi!A:A,1,FALSE)),"Lipsă","OK")</f>
        <v>OK</v>
      </c>
      <c r="L44" t="str">
        <f>IF(ISBLANK(C44),"Retragere sau depunere",IF(ISNA(VLOOKUP(C44,Conturi!A:A,1,FALSE)),"Lipsă","OK"))</f>
        <v>Retragere sau depunere</v>
      </c>
    </row>
    <row r="45" spans="1:12">
      <c r="A45">
        <v>59</v>
      </c>
      <c r="B45">
        <v>1015</v>
      </c>
      <c r="C45">
        <v>1042</v>
      </c>
      <c r="D45">
        <v>4548.76</v>
      </c>
      <c r="E45" s="2">
        <v>44844</v>
      </c>
      <c r="F45" t="s">
        <v>357</v>
      </c>
      <c r="I45" t="str">
        <f t="shared" si="0"/>
        <v>OK</v>
      </c>
      <c r="J45" t="str">
        <f t="shared" si="1"/>
        <v>OK</v>
      </c>
      <c r="K45" t="str">
        <f>IF(ISNA(VLOOKUP(B45,Conturi!A:A,1,FALSE)),"Lipsă","OK")</f>
        <v>OK</v>
      </c>
      <c r="L45" t="str">
        <f>IF(ISBLANK(C45),"Retragere sau depunere",IF(ISNA(VLOOKUP(C45,Conturi!A:A,1,FALSE)),"Lipsă","OK"))</f>
        <v>OK</v>
      </c>
    </row>
    <row r="46" spans="1:12">
      <c r="A46">
        <v>60</v>
      </c>
      <c r="B46">
        <v>1015</v>
      </c>
      <c r="D46">
        <v>3439.13</v>
      </c>
      <c r="E46" s="2">
        <v>44666</v>
      </c>
      <c r="F46" t="s">
        <v>356</v>
      </c>
      <c r="I46" t="str">
        <f t="shared" si="0"/>
        <v>OK</v>
      </c>
      <c r="J46" t="str">
        <f t="shared" si="1"/>
        <v>Lipsă</v>
      </c>
      <c r="K46" t="str">
        <f>IF(ISNA(VLOOKUP(B46,Conturi!A:A,1,FALSE)),"Lipsă","OK")</f>
        <v>OK</v>
      </c>
      <c r="L46" t="str">
        <f>IF(ISBLANK(C46),"Retragere sau depunere",IF(ISNA(VLOOKUP(C46,Conturi!A:A,1,FALSE)),"Lipsă","OK"))</f>
        <v>Retragere sau depunere</v>
      </c>
    </row>
    <row r="47" spans="1:12">
      <c r="A47">
        <v>61</v>
      </c>
      <c r="B47">
        <v>1016</v>
      </c>
      <c r="D47">
        <v>2678.96</v>
      </c>
      <c r="E47" s="2">
        <v>44820</v>
      </c>
      <c r="F47" t="s">
        <v>358</v>
      </c>
      <c r="I47" t="str">
        <f t="shared" si="0"/>
        <v>OK</v>
      </c>
      <c r="J47" t="str">
        <f t="shared" si="1"/>
        <v>Lipsă</v>
      </c>
      <c r="K47" t="str">
        <f>IF(ISNA(VLOOKUP(B47,Conturi!A:A,1,FALSE)),"Lipsă","OK")</f>
        <v>OK</v>
      </c>
      <c r="L47" t="str">
        <f>IF(ISBLANK(C47),"Retragere sau depunere",IF(ISNA(VLOOKUP(C47,Conturi!A:A,1,FALSE)),"Lipsă","OK"))</f>
        <v>Retragere sau depunere</v>
      </c>
    </row>
    <row r="48" spans="1:12">
      <c r="A48">
        <v>62</v>
      </c>
      <c r="B48">
        <v>1017</v>
      </c>
      <c r="C48">
        <v>1168</v>
      </c>
      <c r="D48">
        <v>3032.38</v>
      </c>
      <c r="E48" s="2">
        <v>44722</v>
      </c>
      <c r="F48" t="s">
        <v>357</v>
      </c>
      <c r="I48" t="str">
        <f t="shared" si="0"/>
        <v>OK</v>
      </c>
      <c r="J48" t="str">
        <f t="shared" si="1"/>
        <v>OK</v>
      </c>
      <c r="K48" t="str">
        <f>IF(ISNA(VLOOKUP(B48,Conturi!A:A,1,FALSE)),"Lipsă","OK")</f>
        <v>OK</v>
      </c>
      <c r="L48" t="str">
        <f>IF(ISBLANK(C48),"Retragere sau depunere",IF(ISNA(VLOOKUP(C48,Conturi!A:A,1,FALSE)),"Lipsă","OK"))</f>
        <v>OK</v>
      </c>
    </row>
    <row r="49" spans="1:12">
      <c r="A49">
        <v>63</v>
      </c>
      <c r="B49">
        <v>1017</v>
      </c>
      <c r="C49">
        <v>1004</v>
      </c>
      <c r="D49">
        <v>2930.28</v>
      </c>
      <c r="E49" s="2">
        <v>44793</v>
      </c>
      <c r="F49" t="s">
        <v>357</v>
      </c>
      <c r="I49" t="str">
        <f t="shared" si="0"/>
        <v>OK</v>
      </c>
      <c r="J49" t="str">
        <f t="shared" si="1"/>
        <v>OK</v>
      </c>
      <c r="K49" t="str">
        <f>IF(ISNA(VLOOKUP(B49,Conturi!A:A,1,FALSE)),"Lipsă","OK")</f>
        <v>OK</v>
      </c>
      <c r="L49" t="str">
        <f>IF(ISBLANK(C49),"Retragere sau depunere",IF(ISNA(VLOOKUP(C49,Conturi!A:A,1,FALSE)),"Lipsă","OK"))</f>
        <v>OK</v>
      </c>
    </row>
    <row r="50" spans="1:12">
      <c r="A50">
        <v>64</v>
      </c>
      <c r="B50">
        <v>1017</v>
      </c>
      <c r="C50">
        <v>1079</v>
      </c>
      <c r="D50">
        <v>4655.22</v>
      </c>
      <c r="E50" s="2">
        <v>44613</v>
      </c>
      <c r="F50" t="s">
        <v>357</v>
      </c>
      <c r="I50" t="str">
        <f t="shared" si="0"/>
        <v>OK</v>
      </c>
      <c r="J50" t="str">
        <f t="shared" si="1"/>
        <v>OK</v>
      </c>
      <c r="K50" t="str">
        <f>IF(ISNA(VLOOKUP(B50,Conturi!A:A,1,FALSE)),"Lipsă","OK")</f>
        <v>OK</v>
      </c>
      <c r="L50" t="str">
        <f>IF(ISBLANK(C50),"Retragere sau depunere",IF(ISNA(VLOOKUP(C50,Conturi!A:A,1,FALSE)),"Lipsă","OK"))</f>
        <v>OK</v>
      </c>
    </row>
    <row r="51" spans="1:12">
      <c r="A51">
        <v>65</v>
      </c>
      <c r="B51">
        <v>1017</v>
      </c>
      <c r="D51">
        <v>4760.03</v>
      </c>
      <c r="E51" s="2">
        <v>44926</v>
      </c>
      <c r="F51" t="s">
        <v>356</v>
      </c>
      <c r="I51" t="str">
        <f t="shared" si="0"/>
        <v>OK</v>
      </c>
      <c r="J51" t="str">
        <f t="shared" si="1"/>
        <v>Lipsă</v>
      </c>
      <c r="K51" t="str">
        <f>IF(ISNA(VLOOKUP(B51,Conturi!A:A,1,FALSE)),"Lipsă","OK")</f>
        <v>OK</v>
      </c>
      <c r="L51" t="str">
        <f>IF(ISBLANK(C51),"Retragere sau depunere",IF(ISNA(VLOOKUP(C51,Conturi!A:A,1,FALSE)),"Lipsă","OK"))</f>
        <v>Retragere sau depunere</v>
      </c>
    </row>
    <row r="52" spans="1:12">
      <c r="A52">
        <v>66</v>
      </c>
      <c r="B52">
        <v>1018</v>
      </c>
      <c r="D52">
        <v>2463.56</v>
      </c>
      <c r="E52" s="2">
        <v>44834</v>
      </c>
      <c r="F52" t="s">
        <v>356</v>
      </c>
      <c r="I52" t="str">
        <f t="shared" si="0"/>
        <v>OK</v>
      </c>
      <c r="J52" t="str">
        <f t="shared" si="1"/>
        <v>Lipsă</v>
      </c>
      <c r="K52" t="str">
        <f>IF(ISNA(VLOOKUP(B52,Conturi!A:A,1,FALSE)),"Lipsă","OK")</f>
        <v>OK</v>
      </c>
      <c r="L52" t="str">
        <f>IF(ISBLANK(C52),"Retragere sau depunere",IF(ISNA(VLOOKUP(C52,Conturi!A:A,1,FALSE)),"Lipsă","OK"))</f>
        <v>Retragere sau depunere</v>
      </c>
    </row>
    <row r="53" spans="1:12">
      <c r="A53">
        <v>67</v>
      </c>
      <c r="B53">
        <v>1018</v>
      </c>
      <c r="D53">
        <v>2842.74</v>
      </c>
      <c r="E53" s="2">
        <v>44600</v>
      </c>
      <c r="F53" t="s">
        <v>358</v>
      </c>
      <c r="I53" t="str">
        <f t="shared" si="0"/>
        <v>OK</v>
      </c>
      <c r="J53" t="str">
        <f t="shared" si="1"/>
        <v>Lipsă</v>
      </c>
      <c r="K53" t="str">
        <f>IF(ISNA(VLOOKUP(B53,Conturi!A:A,1,FALSE)),"Lipsă","OK")</f>
        <v>OK</v>
      </c>
      <c r="L53" t="str">
        <f>IF(ISBLANK(C53),"Retragere sau depunere",IF(ISNA(VLOOKUP(C53,Conturi!A:A,1,FALSE)),"Lipsă","OK"))</f>
        <v>Retragere sau depunere</v>
      </c>
    </row>
    <row r="54" spans="1:12">
      <c r="A54">
        <v>68</v>
      </c>
      <c r="B54">
        <v>1018</v>
      </c>
      <c r="C54">
        <v>1192</v>
      </c>
      <c r="D54">
        <v>535.24</v>
      </c>
      <c r="E54" s="2">
        <v>44793</v>
      </c>
      <c r="F54" t="s">
        <v>357</v>
      </c>
      <c r="I54" t="str">
        <f t="shared" si="0"/>
        <v>OK</v>
      </c>
      <c r="J54" t="str">
        <f t="shared" si="1"/>
        <v>OK</v>
      </c>
      <c r="K54" t="str">
        <f>IF(ISNA(VLOOKUP(B54,Conturi!A:A,1,FALSE)),"Lipsă","OK")</f>
        <v>OK</v>
      </c>
      <c r="L54" t="str">
        <f>IF(ISBLANK(C54),"Retragere sau depunere",IF(ISNA(VLOOKUP(C54,Conturi!A:A,1,FALSE)),"Lipsă","OK"))</f>
        <v>OK</v>
      </c>
    </row>
    <row r="55" spans="1:12">
      <c r="A55">
        <v>69</v>
      </c>
      <c r="B55">
        <v>1018</v>
      </c>
      <c r="D55">
        <v>295.81</v>
      </c>
      <c r="E55" s="2">
        <v>44614</v>
      </c>
      <c r="F55" t="s">
        <v>356</v>
      </c>
      <c r="I55" t="str">
        <f t="shared" si="0"/>
        <v>OK</v>
      </c>
      <c r="J55" t="str">
        <f t="shared" si="1"/>
        <v>Lipsă</v>
      </c>
      <c r="K55" t="str">
        <f>IF(ISNA(VLOOKUP(B55,Conturi!A:A,1,FALSE)),"Lipsă","OK")</f>
        <v>OK</v>
      </c>
      <c r="L55" t="str">
        <f>IF(ISBLANK(C55),"Retragere sau depunere",IF(ISNA(VLOOKUP(C55,Conturi!A:A,1,FALSE)),"Lipsă","OK"))</f>
        <v>Retragere sau depunere</v>
      </c>
    </row>
    <row r="56" spans="1:12">
      <c r="A56">
        <v>70</v>
      </c>
      <c r="B56">
        <v>1019</v>
      </c>
      <c r="D56">
        <v>2109.79</v>
      </c>
      <c r="E56" s="2">
        <v>44706</v>
      </c>
      <c r="F56" t="s">
        <v>358</v>
      </c>
      <c r="I56" t="str">
        <f t="shared" si="0"/>
        <v>OK</v>
      </c>
      <c r="J56" t="str">
        <f t="shared" si="1"/>
        <v>Lipsă</v>
      </c>
      <c r="K56" t="str">
        <f>IF(ISNA(VLOOKUP(B56,Conturi!A:A,1,FALSE)),"Lipsă","OK")</f>
        <v>OK</v>
      </c>
      <c r="L56" t="str">
        <f>IF(ISBLANK(C56),"Retragere sau depunere",IF(ISNA(VLOOKUP(C56,Conturi!A:A,1,FALSE)),"Lipsă","OK"))</f>
        <v>Retragere sau depunere</v>
      </c>
    </row>
    <row r="57" spans="1:12">
      <c r="A57">
        <v>71</v>
      </c>
      <c r="B57">
        <v>1019</v>
      </c>
      <c r="D57">
        <v>2476.35</v>
      </c>
      <c r="E57" s="2">
        <v>44651</v>
      </c>
      <c r="F57" t="s">
        <v>358</v>
      </c>
      <c r="I57" t="str">
        <f t="shared" si="0"/>
        <v>OK</v>
      </c>
      <c r="J57" t="str">
        <f t="shared" si="1"/>
        <v>Lipsă</v>
      </c>
      <c r="K57" t="str">
        <f>IF(ISNA(VLOOKUP(B57,Conturi!A:A,1,FALSE)),"Lipsă","OK")</f>
        <v>OK</v>
      </c>
      <c r="L57" t="str">
        <f>IF(ISBLANK(C57),"Retragere sau depunere",IF(ISNA(VLOOKUP(C57,Conturi!A:A,1,FALSE)),"Lipsă","OK"))</f>
        <v>Retragere sau depunere</v>
      </c>
    </row>
    <row r="58" spans="1:12">
      <c r="A58">
        <v>72</v>
      </c>
      <c r="B58">
        <v>1019</v>
      </c>
      <c r="C58">
        <v>1070</v>
      </c>
      <c r="D58">
        <v>1507.86</v>
      </c>
      <c r="E58" s="2">
        <v>44916</v>
      </c>
      <c r="F58" t="s">
        <v>357</v>
      </c>
      <c r="I58" t="str">
        <f t="shared" si="0"/>
        <v>OK</v>
      </c>
      <c r="J58" t="str">
        <f t="shared" si="1"/>
        <v>OK</v>
      </c>
      <c r="K58" t="str">
        <f>IF(ISNA(VLOOKUP(B58,Conturi!A:A,1,FALSE)),"Lipsă","OK")</f>
        <v>OK</v>
      </c>
      <c r="L58" t="str">
        <f>IF(ISBLANK(C58),"Retragere sau depunere",IF(ISNA(VLOOKUP(C58,Conturi!A:A,1,FALSE)),"Lipsă","OK"))</f>
        <v>OK</v>
      </c>
    </row>
    <row r="59" spans="1:12">
      <c r="A59">
        <v>73</v>
      </c>
      <c r="B59">
        <v>1019</v>
      </c>
      <c r="D59">
        <v>2195.79</v>
      </c>
      <c r="E59" s="2">
        <v>44670</v>
      </c>
      <c r="F59" t="s">
        <v>356</v>
      </c>
      <c r="I59" t="str">
        <f t="shared" si="0"/>
        <v>OK</v>
      </c>
      <c r="J59" t="str">
        <f t="shared" si="1"/>
        <v>Lipsă</v>
      </c>
      <c r="K59" t="str">
        <f>IF(ISNA(VLOOKUP(B59,Conturi!A:A,1,FALSE)),"Lipsă","OK")</f>
        <v>OK</v>
      </c>
      <c r="L59" t="str">
        <f>IF(ISBLANK(C59),"Retragere sau depunere",IF(ISNA(VLOOKUP(C59,Conturi!A:A,1,FALSE)),"Lipsă","OK"))</f>
        <v>Retragere sau depunere</v>
      </c>
    </row>
    <row r="60" spans="1:12">
      <c r="A60">
        <v>74</v>
      </c>
      <c r="B60">
        <v>1020</v>
      </c>
      <c r="D60">
        <v>1749.34</v>
      </c>
      <c r="E60" s="2">
        <v>44725</v>
      </c>
      <c r="F60" t="s">
        <v>358</v>
      </c>
      <c r="I60" t="str">
        <f t="shared" si="0"/>
        <v>OK</v>
      </c>
      <c r="J60" t="str">
        <f t="shared" si="1"/>
        <v>Lipsă</v>
      </c>
      <c r="K60" t="str">
        <f>IF(ISNA(VLOOKUP(B60,Conturi!A:A,1,FALSE)),"Lipsă","OK")</f>
        <v>OK</v>
      </c>
      <c r="L60" t="str">
        <f>IF(ISBLANK(C60),"Retragere sau depunere",IF(ISNA(VLOOKUP(C60,Conturi!A:A,1,FALSE)),"Lipsă","OK"))</f>
        <v>Retragere sau depunere</v>
      </c>
    </row>
    <row r="61" spans="1:12">
      <c r="A61">
        <v>75</v>
      </c>
      <c r="B61">
        <v>1020</v>
      </c>
      <c r="C61">
        <v>1123</v>
      </c>
      <c r="D61">
        <v>446.19</v>
      </c>
      <c r="E61" s="2">
        <v>44588</v>
      </c>
      <c r="F61" t="s">
        <v>357</v>
      </c>
      <c r="I61" t="str">
        <f t="shared" si="0"/>
        <v>OK</v>
      </c>
      <c r="J61" t="str">
        <f t="shared" si="1"/>
        <v>OK</v>
      </c>
      <c r="K61" t="str">
        <f>IF(ISNA(VLOOKUP(B61,Conturi!A:A,1,FALSE)),"Lipsă","OK")</f>
        <v>OK</v>
      </c>
      <c r="L61" t="str">
        <f>IF(ISBLANK(C61),"Retragere sau depunere",IF(ISNA(VLOOKUP(C61,Conturi!A:A,1,FALSE)),"Lipsă","OK"))</f>
        <v>OK</v>
      </c>
    </row>
    <row r="62" spans="1:12">
      <c r="A62">
        <v>76</v>
      </c>
      <c r="B62">
        <v>1020</v>
      </c>
      <c r="D62">
        <v>2085.6</v>
      </c>
      <c r="E62" s="2">
        <v>44926</v>
      </c>
      <c r="F62" t="s">
        <v>356</v>
      </c>
      <c r="I62" t="str">
        <f t="shared" si="0"/>
        <v>OK</v>
      </c>
      <c r="J62" t="str">
        <f t="shared" si="1"/>
        <v>Lipsă</v>
      </c>
      <c r="K62" t="str">
        <f>IF(ISNA(VLOOKUP(B62,Conturi!A:A,1,FALSE)),"Lipsă","OK")</f>
        <v>OK</v>
      </c>
      <c r="L62" t="str">
        <f>IF(ISBLANK(C62),"Retragere sau depunere",IF(ISNA(VLOOKUP(C62,Conturi!A:A,1,FALSE)),"Lipsă","OK"))</f>
        <v>Retragere sau depunere</v>
      </c>
    </row>
    <row r="63" spans="1:12">
      <c r="A63">
        <v>77</v>
      </c>
      <c r="B63">
        <v>1020</v>
      </c>
      <c r="D63">
        <v>3421.64</v>
      </c>
      <c r="E63" s="2">
        <v>44644</v>
      </c>
      <c r="F63" t="s">
        <v>356</v>
      </c>
      <c r="I63" t="str">
        <f t="shared" si="0"/>
        <v>OK</v>
      </c>
      <c r="J63" t="str">
        <f t="shared" si="1"/>
        <v>Lipsă</v>
      </c>
      <c r="K63" t="str">
        <f>IF(ISNA(VLOOKUP(B63,Conturi!A:A,1,FALSE)),"Lipsă","OK")</f>
        <v>OK</v>
      </c>
      <c r="L63" t="str">
        <f>IF(ISBLANK(C63),"Retragere sau depunere",IF(ISNA(VLOOKUP(C63,Conturi!A:A,1,FALSE)),"Lipsă","OK"))</f>
        <v>Retragere sau depunere</v>
      </c>
    </row>
    <row r="64" spans="1:12">
      <c r="A64">
        <v>78</v>
      </c>
      <c r="B64">
        <v>1021</v>
      </c>
      <c r="D64">
        <v>2593.23</v>
      </c>
      <c r="E64" s="2">
        <v>44887</v>
      </c>
      <c r="F64" t="s">
        <v>356</v>
      </c>
      <c r="I64" t="str">
        <f t="shared" si="0"/>
        <v>OK</v>
      </c>
      <c r="J64" t="str">
        <f t="shared" si="1"/>
        <v>Lipsă</v>
      </c>
      <c r="K64" t="str">
        <f>IF(ISNA(VLOOKUP(B64,Conturi!A:A,1,FALSE)),"Lipsă","OK")</f>
        <v>OK</v>
      </c>
      <c r="L64" t="str">
        <f>IF(ISBLANK(C64),"Retragere sau depunere",IF(ISNA(VLOOKUP(C64,Conturi!A:A,1,FALSE)),"Lipsă","OK"))</f>
        <v>Retragere sau depunere</v>
      </c>
    </row>
    <row r="65" spans="1:12">
      <c r="A65">
        <v>79</v>
      </c>
      <c r="B65">
        <v>1021</v>
      </c>
      <c r="C65">
        <v>1063</v>
      </c>
      <c r="D65">
        <v>3360.54</v>
      </c>
      <c r="E65" s="2">
        <v>44729</v>
      </c>
      <c r="F65" t="s">
        <v>357</v>
      </c>
      <c r="I65" t="str">
        <f t="shared" si="0"/>
        <v>OK</v>
      </c>
      <c r="J65" t="str">
        <f t="shared" si="1"/>
        <v>OK</v>
      </c>
      <c r="K65" t="str">
        <f>IF(ISNA(VLOOKUP(B65,Conturi!A:A,1,FALSE)),"Lipsă","OK")</f>
        <v>OK</v>
      </c>
      <c r="L65" t="str">
        <f>IF(ISBLANK(C65),"Retragere sau depunere",IF(ISNA(VLOOKUP(C65,Conturi!A:A,1,FALSE)),"Lipsă","OK"))</f>
        <v>OK</v>
      </c>
    </row>
    <row r="66" spans="1:12">
      <c r="A66">
        <v>80</v>
      </c>
      <c r="B66">
        <v>1022</v>
      </c>
      <c r="D66">
        <v>2283.96</v>
      </c>
      <c r="E66" s="2">
        <v>44601</v>
      </c>
      <c r="F66" t="s">
        <v>356</v>
      </c>
      <c r="I66" t="str">
        <f t="shared" si="0"/>
        <v>OK</v>
      </c>
      <c r="J66" t="str">
        <f t="shared" si="1"/>
        <v>Lipsă</v>
      </c>
      <c r="K66" t="str">
        <f>IF(ISNA(VLOOKUP(B66,Conturi!A:A,1,FALSE)),"Lipsă","OK")</f>
        <v>OK</v>
      </c>
      <c r="L66" t="str">
        <f>IF(ISBLANK(C66),"Retragere sau depunere",IF(ISNA(VLOOKUP(C66,Conturi!A:A,1,FALSE)),"Lipsă","OK"))</f>
        <v>Retragere sau depunere</v>
      </c>
    </row>
    <row r="67" spans="1:12">
      <c r="A67">
        <v>81</v>
      </c>
      <c r="B67">
        <v>1022</v>
      </c>
      <c r="D67">
        <v>1905.99</v>
      </c>
      <c r="E67" s="2">
        <v>44651</v>
      </c>
      <c r="F67" t="s">
        <v>356</v>
      </c>
      <c r="I67" t="str">
        <f t="shared" ref="I67:I130" si="2">IF(D67&lt;0,"Greșit","OK")</f>
        <v>OK</v>
      </c>
      <c r="J67" t="str">
        <f t="shared" ref="J67:J130" si="3">IF(ISBLANK(C67),"Lipsă","OK")</f>
        <v>Lipsă</v>
      </c>
      <c r="K67" t="str">
        <f>IF(ISNA(VLOOKUP(B67,Conturi!A:A,1,FALSE)),"Lipsă","OK")</f>
        <v>OK</v>
      </c>
      <c r="L67" t="str">
        <f>IF(ISBLANK(C67),"Retragere sau depunere",IF(ISNA(VLOOKUP(C67,Conturi!A:A,1,FALSE)),"Lipsă","OK"))</f>
        <v>Retragere sau depunere</v>
      </c>
    </row>
    <row r="68" spans="1:12">
      <c r="A68">
        <v>82</v>
      </c>
      <c r="B68">
        <v>1022</v>
      </c>
      <c r="C68">
        <v>1138</v>
      </c>
      <c r="D68">
        <v>3242.16</v>
      </c>
      <c r="E68" s="2">
        <v>44739</v>
      </c>
      <c r="F68" t="s">
        <v>357</v>
      </c>
      <c r="I68" t="str">
        <f t="shared" si="2"/>
        <v>OK</v>
      </c>
      <c r="J68" t="str">
        <f t="shared" si="3"/>
        <v>OK</v>
      </c>
      <c r="K68" t="str">
        <f>IF(ISNA(VLOOKUP(B68,Conturi!A:A,1,FALSE)),"Lipsă","OK")</f>
        <v>OK</v>
      </c>
      <c r="L68" t="str">
        <f>IF(ISBLANK(C68),"Retragere sau depunere",IF(ISNA(VLOOKUP(C68,Conturi!A:A,1,FALSE)),"Lipsă","OK"))</f>
        <v>OK</v>
      </c>
    </row>
    <row r="69" spans="1:12">
      <c r="A69">
        <v>83</v>
      </c>
      <c r="B69">
        <v>1022</v>
      </c>
      <c r="D69">
        <v>1411.37</v>
      </c>
      <c r="E69" s="2">
        <v>44632</v>
      </c>
      <c r="F69" t="s">
        <v>358</v>
      </c>
      <c r="I69" t="str">
        <f t="shared" si="2"/>
        <v>OK</v>
      </c>
      <c r="J69" t="str">
        <f t="shared" si="3"/>
        <v>Lipsă</v>
      </c>
      <c r="K69" t="str">
        <f>IF(ISNA(VLOOKUP(B69,Conturi!A:A,1,FALSE)),"Lipsă","OK")</f>
        <v>OK</v>
      </c>
      <c r="L69" t="str">
        <f>IF(ISBLANK(C69),"Retragere sau depunere",IF(ISNA(VLOOKUP(C69,Conturi!A:A,1,FALSE)),"Lipsă","OK"))</f>
        <v>Retragere sau depunere</v>
      </c>
    </row>
    <row r="70" spans="1:12">
      <c r="A70">
        <v>84</v>
      </c>
      <c r="B70">
        <v>1022</v>
      </c>
      <c r="D70">
        <v>4202.96</v>
      </c>
      <c r="E70" s="2">
        <v>44723</v>
      </c>
      <c r="F70" t="s">
        <v>358</v>
      </c>
      <c r="I70" t="str">
        <f t="shared" si="2"/>
        <v>OK</v>
      </c>
      <c r="J70" t="str">
        <f t="shared" si="3"/>
        <v>Lipsă</v>
      </c>
      <c r="K70" t="str">
        <f>IF(ISNA(VLOOKUP(B70,Conturi!A:A,1,FALSE)),"Lipsă","OK")</f>
        <v>OK</v>
      </c>
      <c r="L70" t="str">
        <f>IF(ISBLANK(C70),"Retragere sau depunere",IF(ISNA(VLOOKUP(C70,Conturi!A:A,1,FALSE)),"Lipsă","OK"))</f>
        <v>Retragere sau depunere</v>
      </c>
    </row>
    <row r="71" spans="1:12">
      <c r="A71">
        <v>85</v>
      </c>
      <c r="B71">
        <v>1023</v>
      </c>
      <c r="D71">
        <v>296.37</v>
      </c>
      <c r="E71" s="2">
        <v>44883</v>
      </c>
      <c r="F71" t="s">
        <v>358</v>
      </c>
      <c r="I71" t="str">
        <f t="shared" si="2"/>
        <v>OK</v>
      </c>
      <c r="J71" t="str">
        <f t="shared" si="3"/>
        <v>Lipsă</v>
      </c>
      <c r="K71" t="str">
        <f>IF(ISNA(VLOOKUP(B71,Conturi!A:A,1,FALSE)),"Lipsă","OK")</f>
        <v>OK</v>
      </c>
      <c r="L71" t="str">
        <f>IF(ISBLANK(C71),"Retragere sau depunere",IF(ISNA(VLOOKUP(C71,Conturi!A:A,1,FALSE)),"Lipsă","OK"))</f>
        <v>Retragere sau depunere</v>
      </c>
    </row>
    <row r="72" spans="1:12">
      <c r="A72">
        <v>86</v>
      </c>
      <c r="B72">
        <v>1023</v>
      </c>
      <c r="D72">
        <v>2975.26</v>
      </c>
      <c r="E72" s="2">
        <v>44810</v>
      </c>
      <c r="F72" t="s">
        <v>356</v>
      </c>
      <c r="I72" t="str">
        <f t="shared" si="2"/>
        <v>OK</v>
      </c>
      <c r="J72" t="str">
        <f t="shared" si="3"/>
        <v>Lipsă</v>
      </c>
      <c r="K72" t="str">
        <f>IF(ISNA(VLOOKUP(B72,Conturi!A:A,1,FALSE)),"Lipsă","OK")</f>
        <v>OK</v>
      </c>
      <c r="L72" t="str">
        <f>IF(ISBLANK(C72),"Retragere sau depunere",IF(ISNA(VLOOKUP(C72,Conturi!A:A,1,FALSE)),"Lipsă","OK"))</f>
        <v>Retragere sau depunere</v>
      </c>
    </row>
    <row r="73" spans="1:12">
      <c r="A73">
        <v>87</v>
      </c>
      <c r="B73">
        <v>1023</v>
      </c>
      <c r="D73">
        <v>4043.66</v>
      </c>
      <c r="E73" s="2">
        <v>44686</v>
      </c>
      <c r="F73" t="s">
        <v>356</v>
      </c>
      <c r="I73" t="str">
        <f t="shared" si="2"/>
        <v>OK</v>
      </c>
      <c r="J73" t="str">
        <f t="shared" si="3"/>
        <v>Lipsă</v>
      </c>
      <c r="K73" t="str">
        <f>IF(ISNA(VLOOKUP(B73,Conturi!A:A,1,FALSE)),"Lipsă","OK")</f>
        <v>OK</v>
      </c>
      <c r="L73" t="str">
        <f>IF(ISBLANK(C73),"Retragere sau depunere",IF(ISNA(VLOOKUP(C73,Conturi!A:A,1,FALSE)),"Lipsă","OK"))</f>
        <v>Retragere sau depunere</v>
      </c>
    </row>
    <row r="74" spans="1:12">
      <c r="A74">
        <v>88</v>
      </c>
      <c r="B74">
        <v>1024</v>
      </c>
      <c r="D74">
        <v>4919.6000000000004</v>
      </c>
      <c r="E74" s="2">
        <v>44631</v>
      </c>
      <c r="F74" t="s">
        <v>356</v>
      </c>
      <c r="I74" t="str">
        <f t="shared" si="2"/>
        <v>OK</v>
      </c>
      <c r="J74" t="str">
        <f t="shared" si="3"/>
        <v>Lipsă</v>
      </c>
      <c r="K74" t="str">
        <f>IF(ISNA(VLOOKUP(B74,Conturi!A:A,1,FALSE)),"Lipsă","OK")</f>
        <v>OK</v>
      </c>
      <c r="L74" t="str">
        <f>IF(ISBLANK(C74),"Retragere sau depunere",IF(ISNA(VLOOKUP(C74,Conturi!A:A,1,FALSE)),"Lipsă","OK"))</f>
        <v>Retragere sau depunere</v>
      </c>
    </row>
    <row r="75" spans="1:12">
      <c r="A75">
        <v>89</v>
      </c>
      <c r="B75">
        <v>1025</v>
      </c>
      <c r="C75">
        <v>1108</v>
      </c>
      <c r="D75">
        <v>3796.72</v>
      </c>
      <c r="E75" s="2">
        <v>44791</v>
      </c>
      <c r="F75" t="s">
        <v>357</v>
      </c>
      <c r="I75" t="str">
        <f t="shared" si="2"/>
        <v>OK</v>
      </c>
      <c r="J75" t="str">
        <f t="shared" si="3"/>
        <v>OK</v>
      </c>
      <c r="K75" t="str">
        <f>IF(ISNA(VLOOKUP(B75,Conturi!A:A,1,FALSE)),"Lipsă","OK")</f>
        <v>OK</v>
      </c>
      <c r="L75" t="str">
        <f>IF(ISBLANK(C75),"Retragere sau depunere",IF(ISNA(VLOOKUP(C75,Conturi!A:A,1,FALSE)),"Lipsă","OK"))</f>
        <v>OK</v>
      </c>
    </row>
    <row r="76" spans="1:12">
      <c r="A76">
        <v>90</v>
      </c>
      <c r="B76">
        <v>1025</v>
      </c>
      <c r="D76">
        <v>4053.62</v>
      </c>
      <c r="E76" s="2">
        <v>44645</v>
      </c>
      <c r="F76" t="s">
        <v>358</v>
      </c>
      <c r="I76" t="str">
        <f t="shared" si="2"/>
        <v>OK</v>
      </c>
      <c r="J76" t="str">
        <f t="shared" si="3"/>
        <v>Lipsă</v>
      </c>
      <c r="K76" t="str">
        <f>IF(ISNA(VLOOKUP(B76,Conturi!A:A,1,FALSE)),"Lipsă","OK")</f>
        <v>OK</v>
      </c>
      <c r="L76" t="str">
        <f>IF(ISBLANK(C76),"Retragere sau depunere",IF(ISNA(VLOOKUP(C76,Conturi!A:A,1,FALSE)),"Lipsă","OK"))</f>
        <v>Retragere sau depunere</v>
      </c>
    </row>
    <row r="77" spans="1:12">
      <c r="A77">
        <v>91</v>
      </c>
      <c r="B77">
        <v>1026</v>
      </c>
      <c r="D77">
        <v>517.42999999999995</v>
      </c>
      <c r="E77" s="2">
        <v>44604</v>
      </c>
      <c r="F77" t="s">
        <v>356</v>
      </c>
      <c r="I77" t="str">
        <f t="shared" si="2"/>
        <v>OK</v>
      </c>
      <c r="J77" t="str">
        <f t="shared" si="3"/>
        <v>Lipsă</v>
      </c>
      <c r="K77" t="str">
        <f>IF(ISNA(VLOOKUP(B77,Conturi!A:A,1,FALSE)),"Lipsă","OK")</f>
        <v>OK</v>
      </c>
      <c r="L77" t="str">
        <f>IF(ISBLANK(C77),"Retragere sau depunere",IF(ISNA(VLOOKUP(C77,Conturi!A:A,1,FALSE)),"Lipsă","OK"))</f>
        <v>Retragere sau depunere</v>
      </c>
    </row>
    <row r="78" spans="1:12">
      <c r="A78">
        <v>92</v>
      </c>
      <c r="B78">
        <v>1027</v>
      </c>
      <c r="D78">
        <v>867.84</v>
      </c>
      <c r="E78" s="2">
        <v>44787</v>
      </c>
      <c r="F78" t="s">
        <v>358</v>
      </c>
      <c r="I78" t="str">
        <f t="shared" si="2"/>
        <v>OK</v>
      </c>
      <c r="J78" t="str">
        <f t="shared" si="3"/>
        <v>Lipsă</v>
      </c>
      <c r="K78" t="str">
        <f>IF(ISNA(VLOOKUP(B78,Conturi!A:A,1,FALSE)),"Lipsă","OK")</f>
        <v>OK</v>
      </c>
      <c r="L78" t="str">
        <f>IF(ISBLANK(C78),"Retragere sau depunere",IF(ISNA(VLOOKUP(C78,Conturi!A:A,1,FALSE)),"Lipsă","OK"))</f>
        <v>Retragere sau depunere</v>
      </c>
    </row>
    <row r="79" spans="1:12">
      <c r="A79">
        <v>93</v>
      </c>
      <c r="B79">
        <v>1027</v>
      </c>
      <c r="D79">
        <v>1170.3900000000001</v>
      </c>
      <c r="E79" s="2">
        <v>44907</v>
      </c>
      <c r="F79" t="s">
        <v>356</v>
      </c>
      <c r="I79" t="str">
        <f t="shared" si="2"/>
        <v>OK</v>
      </c>
      <c r="J79" t="str">
        <f t="shared" si="3"/>
        <v>Lipsă</v>
      </c>
      <c r="K79" t="str">
        <f>IF(ISNA(VLOOKUP(B79,Conturi!A:A,1,FALSE)),"Lipsă","OK")</f>
        <v>OK</v>
      </c>
      <c r="L79" t="str">
        <f>IF(ISBLANK(C79),"Retragere sau depunere",IF(ISNA(VLOOKUP(C79,Conturi!A:A,1,FALSE)),"Lipsă","OK"))</f>
        <v>Retragere sau depunere</v>
      </c>
    </row>
    <row r="80" spans="1:12">
      <c r="A80">
        <v>94</v>
      </c>
      <c r="B80">
        <v>1028</v>
      </c>
      <c r="C80">
        <v>1140</v>
      </c>
      <c r="D80">
        <v>4318.9799999999996</v>
      </c>
      <c r="E80" s="2">
        <v>44851</v>
      </c>
      <c r="F80" t="s">
        <v>357</v>
      </c>
      <c r="I80" t="str">
        <f t="shared" si="2"/>
        <v>OK</v>
      </c>
      <c r="J80" t="str">
        <f t="shared" si="3"/>
        <v>OK</v>
      </c>
      <c r="K80" t="str">
        <f>IF(ISNA(VLOOKUP(B80,Conturi!A:A,1,FALSE)),"Lipsă","OK")</f>
        <v>OK</v>
      </c>
      <c r="L80" t="str">
        <f>IF(ISBLANK(C80),"Retragere sau depunere",IF(ISNA(VLOOKUP(C80,Conturi!A:A,1,FALSE)),"Lipsă","OK"))</f>
        <v>OK</v>
      </c>
    </row>
    <row r="81" spans="1:12">
      <c r="A81">
        <v>95</v>
      </c>
      <c r="B81">
        <v>1028</v>
      </c>
      <c r="C81">
        <v>1155</v>
      </c>
      <c r="D81">
        <v>235.16</v>
      </c>
      <c r="E81" s="2">
        <v>44907</v>
      </c>
      <c r="F81" t="s">
        <v>357</v>
      </c>
      <c r="I81" t="str">
        <f t="shared" si="2"/>
        <v>OK</v>
      </c>
      <c r="J81" t="str">
        <f t="shared" si="3"/>
        <v>OK</v>
      </c>
      <c r="K81" t="str">
        <f>IF(ISNA(VLOOKUP(B81,Conturi!A:A,1,FALSE)),"Lipsă","OK")</f>
        <v>OK</v>
      </c>
      <c r="L81" t="str">
        <f>IF(ISBLANK(C81),"Retragere sau depunere",IF(ISNA(VLOOKUP(C81,Conturi!A:A,1,FALSE)),"Lipsă","OK"))</f>
        <v>OK</v>
      </c>
    </row>
    <row r="82" spans="1:12">
      <c r="A82">
        <v>96</v>
      </c>
      <c r="B82">
        <v>1028</v>
      </c>
      <c r="D82">
        <v>463.11</v>
      </c>
      <c r="E82" s="2">
        <v>44715</v>
      </c>
      <c r="F82" t="s">
        <v>358</v>
      </c>
      <c r="I82" t="str">
        <f t="shared" si="2"/>
        <v>OK</v>
      </c>
      <c r="J82" t="str">
        <f t="shared" si="3"/>
        <v>Lipsă</v>
      </c>
      <c r="K82" t="str">
        <f>IF(ISNA(VLOOKUP(B82,Conturi!A:A,1,FALSE)),"Lipsă","OK")</f>
        <v>OK</v>
      </c>
      <c r="L82" t="str">
        <f>IF(ISBLANK(C82),"Retragere sau depunere",IF(ISNA(VLOOKUP(C82,Conturi!A:A,1,FALSE)),"Lipsă","OK"))</f>
        <v>Retragere sau depunere</v>
      </c>
    </row>
    <row r="83" spans="1:12">
      <c r="A83">
        <v>97</v>
      </c>
      <c r="B83">
        <v>1028</v>
      </c>
      <c r="C83">
        <v>1134</v>
      </c>
      <c r="D83">
        <v>2088.79</v>
      </c>
      <c r="E83" s="2">
        <v>44778</v>
      </c>
      <c r="F83" t="s">
        <v>357</v>
      </c>
      <c r="I83" t="str">
        <f t="shared" si="2"/>
        <v>OK</v>
      </c>
      <c r="J83" t="str">
        <f t="shared" si="3"/>
        <v>OK</v>
      </c>
      <c r="K83" t="str">
        <f>IF(ISNA(VLOOKUP(B83,Conturi!A:A,1,FALSE)),"Lipsă","OK")</f>
        <v>OK</v>
      </c>
      <c r="L83" t="str">
        <f>IF(ISBLANK(C83),"Retragere sau depunere",IF(ISNA(VLOOKUP(C83,Conturi!A:A,1,FALSE)),"Lipsă","OK"))</f>
        <v>OK</v>
      </c>
    </row>
    <row r="84" spans="1:12">
      <c r="A84">
        <v>98</v>
      </c>
      <c r="B84">
        <v>1029</v>
      </c>
      <c r="D84">
        <v>3584.19</v>
      </c>
      <c r="E84" s="2">
        <v>44913</v>
      </c>
      <c r="F84" t="s">
        <v>358</v>
      </c>
      <c r="I84" t="str">
        <f t="shared" si="2"/>
        <v>OK</v>
      </c>
      <c r="J84" t="str">
        <f t="shared" si="3"/>
        <v>Lipsă</v>
      </c>
      <c r="K84" t="str">
        <f>IF(ISNA(VLOOKUP(B84,Conturi!A:A,1,FALSE)),"Lipsă","OK")</f>
        <v>OK</v>
      </c>
      <c r="L84" t="str">
        <f>IF(ISBLANK(C84),"Retragere sau depunere",IF(ISNA(VLOOKUP(C84,Conturi!A:A,1,FALSE)),"Lipsă","OK"))</f>
        <v>Retragere sau depunere</v>
      </c>
    </row>
    <row r="85" spans="1:12">
      <c r="A85">
        <v>99</v>
      </c>
      <c r="B85">
        <v>1029</v>
      </c>
      <c r="D85">
        <v>1725.15</v>
      </c>
      <c r="E85" s="2">
        <v>44795</v>
      </c>
      <c r="F85" t="s">
        <v>358</v>
      </c>
      <c r="I85" t="str">
        <f t="shared" si="2"/>
        <v>OK</v>
      </c>
      <c r="J85" t="str">
        <f t="shared" si="3"/>
        <v>Lipsă</v>
      </c>
      <c r="K85" t="str">
        <f>IF(ISNA(VLOOKUP(B85,Conturi!A:A,1,FALSE)),"Lipsă","OK")</f>
        <v>OK</v>
      </c>
      <c r="L85" t="str">
        <f>IF(ISBLANK(C85),"Retragere sau depunere",IF(ISNA(VLOOKUP(C85,Conturi!A:A,1,FALSE)),"Lipsă","OK"))</f>
        <v>Retragere sau depunere</v>
      </c>
    </row>
    <row r="86" spans="1:12">
      <c r="A86">
        <v>100</v>
      </c>
      <c r="B86">
        <v>1030</v>
      </c>
      <c r="C86">
        <v>1110</v>
      </c>
      <c r="D86">
        <v>849.34</v>
      </c>
      <c r="E86" s="2">
        <v>44595</v>
      </c>
      <c r="F86" t="s">
        <v>357</v>
      </c>
      <c r="I86" t="str">
        <f t="shared" si="2"/>
        <v>OK</v>
      </c>
      <c r="J86" t="str">
        <f t="shared" si="3"/>
        <v>OK</v>
      </c>
      <c r="K86" t="str">
        <f>IF(ISNA(VLOOKUP(B86,Conturi!A:A,1,FALSE)),"Lipsă","OK")</f>
        <v>OK</v>
      </c>
      <c r="L86" t="str">
        <f>IF(ISBLANK(C86),"Retragere sau depunere",IF(ISNA(VLOOKUP(C86,Conturi!A:A,1,FALSE)),"Lipsă","OK"))</f>
        <v>OK</v>
      </c>
    </row>
    <row r="87" spans="1:12">
      <c r="A87">
        <v>101</v>
      </c>
      <c r="B87">
        <v>1030</v>
      </c>
      <c r="D87">
        <v>1773.74</v>
      </c>
      <c r="E87" s="2">
        <v>44814</v>
      </c>
      <c r="F87" t="s">
        <v>356</v>
      </c>
      <c r="I87" t="str">
        <f t="shared" si="2"/>
        <v>OK</v>
      </c>
      <c r="J87" t="str">
        <f t="shared" si="3"/>
        <v>Lipsă</v>
      </c>
      <c r="K87" t="str">
        <f>IF(ISNA(VLOOKUP(B87,Conturi!A:A,1,FALSE)),"Lipsă","OK")</f>
        <v>OK</v>
      </c>
      <c r="L87" t="str">
        <f>IF(ISBLANK(C87),"Retragere sau depunere",IF(ISNA(VLOOKUP(C87,Conturi!A:A,1,FALSE)),"Lipsă","OK"))</f>
        <v>Retragere sau depunere</v>
      </c>
    </row>
    <row r="88" spans="1:12">
      <c r="A88">
        <v>102</v>
      </c>
      <c r="B88">
        <v>1030</v>
      </c>
      <c r="C88">
        <v>1178</v>
      </c>
      <c r="D88">
        <v>3090.69</v>
      </c>
      <c r="E88" s="2">
        <v>44686</v>
      </c>
      <c r="F88" t="s">
        <v>357</v>
      </c>
      <c r="I88" t="str">
        <f t="shared" si="2"/>
        <v>OK</v>
      </c>
      <c r="J88" t="str">
        <f t="shared" si="3"/>
        <v>OK</v>
      </c>
      <c r="K88" t="str">
        <f>IF(ISNA(VLOOKUP(B88,Conturi!A:A,1,FALSE)),"Lipsă","OK")</f>
        <v>OK</v>
      </c>
      <c r="L88" t="str">
        <f>IF(ISBLANK(C88),"Retragere sau depunere",IF(ISNA(VLOOKUP(C88,Conturi!A:A,1,FALSE)),"Lipsă","OK"))</f>
        <v>OK</v>
      </c>
    </row>
    <row r="89" spans="1:12">
      <c r="A89">
        <v>103</v>
      </c>
      <c r="B89">
        <v>1031</v>
      </c>
      <c r="C89">
        <v>1042</v>
      </c>
      <c r="D89">
        <v>1907.59</v>
      </c>
      <c r="E89" s="2">
        <v>44889</v>
      </c>
      <c r="F89" t="s">
        <v>357</v>
      </c>
      <c r="I89" t="str">
        <f t="shared" si="2"/>
        <v>OK</v>
      </c>
      <c r="J89" t="str">
        <f t="shared" si="3"/>
        <v>OK</v>
      </c>
      <c r="K89" t="str">
        <f>IF(ISNA(VLOOKUP(B89,Conturi!A:A,1,FALSE)),"Lipsă","OK")</f>
        <v>OK</v>
      </c>
      <c r="L89" t="str">
        <f>IF(ISBLANK(C89),"Retragere sau depunere",IF(ISNA(VLOOKUP(C89,Conturi!A:A,1,FALSE)),"Lipsă","OK"))</f>
        <v>OK</v>
      </c>
    </row>
    <row r="90" spans="1:12">
      <c r="A90">
        <v>104</v>
      </c>
      <c r="B90">
        <v>1031</v>
      </c>
      <c r="D90">
        <v>3307.91</v>
      </c>
      <c r="E90" s="2">
        <v>44691</v>
      </c>
      <c r="F90" t="s">
        <v>356</v>
      </c>
      <c r="I90" t="str">
        <f t="shared" si="2"/>
        <v>OK</v>
      </c>
      <c r="J90" t="str">
        <f t="shared" si="3"/>
        <v>Lipsă</v>
      </c>
      <c r="K90" t="str">
        <f>IF(ISNA(VLOOKUP(B90,Conturi!A:A,1,FALSE)),"Lipsă","OK")</f>
        <v>OK</v>
      </c>
      <c r="L90" t="str">
        <f>IF(ISBLANK(C90),"Retragere sau depunere",IF(ISNA(VLOOKUP(C90,Conturi!A:A,1,FALSE)),"Lipsă","OK"))</f>
        <v>Retragere sau depunere</v>
      </c>
    </row>
    <row r="91" spans="1:12">
      <c r="A91">
        <v>105</v>
      </c>
      <c r="B91">
        <v>1031</v>
      </c>
      <c r="D91">
        <v>4735.95</v>
      </c>
      <c r="E91" s="2">
        <v>44586</v>
      </c>
      <c r="F91" t="s">
        <v>358</v>
      </c>
      <c r="I91" t="str">
        <f t="shared" si="2"/>
        <v>OK</v>
      </c>
      <c r="J91" t="str">
        <f t="shared" si="3"/>
        <v>Lipsă</v>
      </c>
      <c r="K91" t="str">
        <f>IF(ISNA(VLOOKUP(B91,Conturi!A:A,1,FALSE)),"Lipsă","OK")</f>
        <v>OK</v>
      </c>
      <c r="L91" t="str">
        <f>IF(ISBLANK(C91),"Retragere sau depunere",IF(ISNA(VLOOKUP(C91,Conturi!A:A,1,FALSE)),"Lipsă","OK"))</f>
        <v>Retragere sau depunere</v>
      </c>
    </row>
    <row r="92" spans="1:12">
      <c r="A92">
        <v>106</v>
      </c>
      <c r="B92">
        <v>1031</v>
      </c>
      <c r="C92">
        <v>1143</v>
      </c>
      <c r="D92">
        <v>2390.5500000000002</v>
      </c>
      <c r="E92" s="2">
        <v>44816</v>
      </c>
      <c r="F92" t="s">
        <v>357</v>
      </c>
      <c r="I92" t="str">
        <f t="shared" si="2"/>
        <v>OK</v>
      </c>
      <c r="J92" t="str">
        <f t="shared" si="3"/>
        <v>OK</v>
      </c>
      <c r="K92" t="str">
        <f>IF(ISNA(VLOOKUP(B92,Conturi!A:A,1,FALSE)),"Lipsă","OK")</f>
        <v>OK</v>
      </c>
      <c r="L92" t="str">
        <f>IF(ISBLANK(C92),"Retragere sau depunere",IF(ISNA(VLOOKUP(C92,Conturi!A:A,1,FALSE)),"Lipsă","OK"))</f>
        <v>OK</v>
      </c>
    </row>
    <row r="93" spans="1:12">
      <c r="A93">
        <v>107</v>
      </c>
      <c r="B93">
        <v>1032</v>
      </c>
      <c r="C93">
        <v>1081</v>
      </c>
      <c r="D93">
        <v>1301.95</v>
      </c>
      <c r="E93" s="2">
        <v>44632</v>
      </c>
      <c r="F93" t="s">
        <v>357</v>
      </c>
      <c r="I93" t="str">
        <f t="shared" si="2"/>
        <v>OK</v>
      </c>
      <c r="J93" t="str">
        <f t="shared" si="3"/>
        <v>OK</v>
      </c>
      <c r="K93" t="str">
        <f>IF(ISNA(VLOOKUP(B93,Conturi!A:A,1,FALSE)),"Lipsă","OK")</f>
        <v>OK</v>
      </c>
      <c r="L93" t="str">
        <f>IF(ISBLANK(C93),"Retragere sau depunere",IF(ISNA(VLOOKUP(C93,Conturi!A:A,1,FALSE)),"Lipsă","OK"))</f>
        <v>OK</v>
      </c>
    </row>
    <row r="94" spans="1:12">
      <c r="A94">
        <v>108</v>
      </c>
      <c r="B94">
        <v>1032</v>
      </c>
      <c r="D94">
        <v>4307.12</v>
      </c>
      <c r="E94" s="2">
        <v>44858</v>
      </c>
      <c r="F94" t="s">
        <v>358</v>
      </c>
      <c r="I94" t="str">
        <f t="shared" si="2"/>
        <v>OK</v>
      </c>
      <c r="J94" t="str">
        <f t="shared" si="3"/>
        <v>Lipsă</v>
      </c>
      <c r="K94" t="str">
        <f>IF(ISNA(VLOOKUP(B94,Conturi!A:A,1,FALSE)),"Lipsă","OK")</f>
        <v>OK</v>
      </c>
      <c r="L94" t="str">
        <f>IF(ISBLANK(C94),"Retragere sau depunere",IF(ISNA(VLOOKUP(C94,Conturi!A:A,1,FALSE)),"Lipsă","OK"))</f>
        <v>Retragere sau depunere</v>
      </c>
    </row>
    <row r="95" spans="1:12">
      <c r="A95">
        <v>109</v>
      </c>
      <c r="B95">
        <v>1032</v>
      </c>
      <c r="D95">
        <v>3838.88</v>
      </c>
      <c r="E95" s="2">
        <v>44742</v>
      </c>
      <c r="F95" t="s">
        <v>356</v>
      </c>
      <c r="I95" t="str">
        <f t="shared" si="2"/>
        <v>OK</v>
      </c>
      <c r="J95" t="str">
        <f t="shared" si="3"/>
        <v>Lipsă</v>
      </c>
      <c r="K95" t="str">
        <f>IF(ISNA(VLOOKUP(B95,Conturi!A:A,1,FALSE)),"Lipsă","OK")</f>
        <v>OK</v>
      </c>
      <c r="L95" t="str">
        <f>IF(ISBLANK(C95),"Retragere sau depunere",IF(ISNA(VLOOKUP(C95,Conturi!A:A,1,FALSE)),"Lipsă","OK"))</f>
        <v>Retragere sau depunere</v>
      </c>
    </row>
    <row r="96" spans="1:12">
      <c r="A96">
        <v>110</v>
      </c>
      <c r="B96">
        <v>1033</v>
      </c>
      <c r="C96">
        <v>1035</v>
      </c>
      <c r="D96">
        <v>2541.06</v>
      </c>
      <c r="E96" s="2">
        <v>44664</v>
      </c>
      <c r="F96" t="s">
        <v>357</v>
      </c>
      <c r="I96" t="str">
        <f t="shared" si="2"/>
        <v>OK</v>
      </c>
      <c r="J96" t="str">
        <f t="shared" si="3"/>
        <v>OK</v>
      </c>
      <c r="K96" t="str">
        <f>IF(ISNA(VLOOKUP(B96,Conturi!A:A,1,FALSE)),"Lipsă","OK")</f>
        <v>OK</v>
      </c>
      <c r="L96" t="str">
        <f>IF(ISBLANK(C96),"Retragere sau depunere",IF(ISNA(VLOOKUP(C96,Conturi!A:A,1,FALSE)),"Lipsă","OK"))</f>
        <v>OK</v>
      </c>
    </row>
    <row r="97" spans="1:12">
      <c r="A97">
        <v>111</v>
      </c>
      <c r="B97">
        <v>1033</v>
      </c>
      <c r="C97">
        <v>1147</v>
      </c>
      <c r="D97">
        <v>1240.9100000000001</v>
      </c>
      <c r="E97" s="2">
        <v>44884</v>
      </c>
      <c r="F97" t="s">
        <v>357</v>
      </c>
      <c r="I97" t="str">
        <f t="shared" si="2"/>
        <v>OK</v>
      </c>
      <c r="J97" t="str">
        <f t="shared" si="3"/>
        <v>OK</v>
      </c>
      <c r="K97" t="str">
        <f>IF(ISNA(VLOOKUP(B97,Conturi!A:A,1,FALSE)),"Lipsă","OK")</f>
        <v>OK</v>
      </c>
      <c r="L97" t="str">
        <f>IF(ISBLANK(C97),"Retragere sau depunere",IF(ISNA(VLOOKUP(C97,Conturi!A:A,1,FALSE)),"Lipsă","OK"))</f>
        <v>OK</v>
      </c>
    </row>
    <row r="98" spans="1:12">
      <c r="A98">
        <v>112</v>
      </c>
      <c r="B98">
        <v>1033</v>
      </c>
      <c r="D98">
        <v>4819.88</v>
      </c>
      <c r="E98" s="2">
        <v>44636</v>
      </c>
      <c r="F98" t="s">
        <v>358</v>
      </c>
      <c r="I98" t="str">
        <f t="shared" si="2"/>
        <v>OK</v>
      </c>
      <c r="J98" t="str">
        <f t="shared" si="3"/>
        <v>Lipsă</v>
      </c>
      <c r="K98" t="str">
        <f>IF(ISNA(VLOOKUP(B98,Conturi!A:A,1,FALSE)),"Lipsă","OK")</f>
        <v>OK</v>
      </c>
      <c r="L98" t="str">
        <f>IF(ISBLANK(C98),"Retragere sau depunere",IF(ISNA(VLOOKUP(C98,Conturi!A:A,1,FALSE)),"Lipsă","OK"))</f>
        <v>Retragere sau depunere</v>
      </c>
    </row>
    <row r="99" spans="1:12">
      <c r="A99">
        <v>113</v>
      </c>
      <c r="B99">
        <v>1033</v>
      </c>
      <c r="D99">
        <v>1270.67</v>
      </c>
      <c r="E99" s="2">
        <v>44677</v>
      </c>
      <c r="F99" t="s">
        <v>356</v>
      </c>
      <c r="I99" t="str">
        <f t="shared" si="2"/>
        <v>OK</v>
      </c>
      <c r="J99" t="str">
        <f t="shared" si="3"/>
        <v>Lipsă</v>
      </c>
      <c r="K99" t="str">
        <f>IF(ISNA(VLOOKUP(B99,Conturi!A:A,1,FALSE)),"Lipsă","OK")</f>
        <v>OK</v>
      </c>
      <c r="L99" t="str">
        <f>IF(ISBLANK(C99),"Retragere sau depunere",IF(ISNA(VLOOKUP(C99,Conturi!A:A,1,FALSE)),"Lipsă","OK"))</f>
        <v>Retragere sau depunere</v>
      </c>
    </row>
    <row r="100" spans="1:12">
      <c r="A100">
        <v>114</v>
      </c>
      <c r="B100">
        <v>1033</v>
      </c>
      <c r="D100">
        <v>2355.38</v>
      </c>
      <c r="E100" s="2">
        <v>44875</v>
      </c>
      <c r="F100" t="s">
        <v>358</v>
      </c>
      <c r="I100" t="str">
        <f t="shared" si="2"/>
        <v>OK</v>
      </c>
      <c r="J100" t="str">
        <f t="shared" si="3"/>
        <v>Lipsă</v>
      </c>
      <c r="K100" t="str">
        <f>IF(ISNA(VLOOKUP(B100,Conturi!A:A,1,FALSE)),"Lipsă","OK")</f>
        <v>OK</v>
      </c>
      <c r="L100" t="str">
        <f>IF(ISBLANK(C100),"Retragere sau depunere",IF(ISNA(VLOOKUP(C100,Conturi!A:A,1,FALSE)),"Lipsă","OK"))</f>
        <v>Retragere sau depunere</v>
      </c>
    </row>
    <row r="101" spans="1:12">
      <c r="A101">
        <v>115</v>
      </c>
      <c r="B101">
        <v>1034</v>
      </c>
      <c r="C101">
        <v>1039</v>
      </c>
      <c r="D101">
        <v>4322.32</v>
      </c>
      <c r="E101" s="2">
        <v>44578</v>
      </c>
      <c r="F101" t="s">
        <v>357</v>
      </c>
      <c r="I101" t="str">
        <f t="shared" si="2"/>
        <v>OK</v>
      </c>
      <c r="J101" t="str">
        <f t="shared" si="3"/>
        <v>OK</v>
      </c>
      <c r="K101" t="str">
        <f>IF(ISNA(VLOOKUP(B101,Conturi!A:A,1,FALSE)),"Lipsă","OK")</f>
        <v>OK</v>
      </c>
      <c r="L101" t="str">
        <f>IF(ISBLANK(C101),"Retragere sau depunere",IF(ISNA(VLOOKUP(C101,Conturi!A:A,1,FALSE)),"Lipsă","OK"))</f>
        <v>OK</v>
      </c>
    </row>
    <row r="102" spans="1:12">
      <c r="A102">
        <v>116</v>
      </c>
      <c r="B102">
        <v>1034</v>
      </c>
      <c r="D102">
        <v>4237.2700000000004</v>
      </c>
      <c r="E102" s="2">
        <v>44589</v>
      </c>
      <c r="F102" t="s">
        <v>358</v>
      </c>
      <c r="I102" t="str">
        <f t="shared" si="2"/>
        <v>OK</v>
      </c>
      <c r="J102" t="str">
        <f t="shared" si="3"/>
        <v>Lipsă</v>
      </c>
      <c r="K102" t="str">
        <f>IF(ISNA(VLOOKUP(B102,Conturi!A:A,1,FALSE)),"Lipsă","OK")</f>
        <v>OK</v>
      </c>
      <c r="L102" t="str">
        <f>IF(ISBLANK(C102),"Retragere sau depunere",IF(ISNA(VLOOKUP(C102,Conturi!A:A,1,FALSE)),"Lipsă","OK"))</f>
        <v>Retragere sau depunere</v>
      </c>
    </row>
    <row r="103" spans="1:12">
      <c r="A103">
        <v>117</v>
      </c>
      <c r="B103">
        <v>1034</v>
      </c>
      <c r="D103">
        <v>3377.3</v>
      </c>
      <c r="E103" s="2">
        <v>44787</v>
      </c>
      <c r="F103" t="s">
        <v>356</v>
      </c>
      <c r="I103" t="str">
        <f t="shared" si="2"/>
        <v>OK</v>
      </c>
      <c r="J103" t="str">
        <f t="shared" si="3"/>
        <v>Lipsă</v>
      </c>
      <c r="K103" t="str">
        <f>IF(ISNA(VLOOKUP(B103,Conturi!A:A,1,FALSE)),"Lipsă","OK")</f>
        <v>OK</v>
      </c>
      <c r="L103" t="str">
        <f>IF(ISBLANK(C103),"Retragere sau depunere",IF(ISNA(VLOOKUP(C103,Conturi!A:A,1,FALSE)),"Lipsă","OK"))</f>
        <v>Retragere sau depunere</v>
      </c>
    </row>
    <row r="104" spans="1:12">
      <c r="A104">
        <v>118</v>
      </c>
      <c r="B104">
        <v>1034</v>
      </c>
      <c r="C104">
        <v>1053</v>
      </c>
      <c r="D104">
        <v>1257.76</v>
      </c>
      <c r="E104" s="2">
        <v>44594</v>
      </c>
      <c r="F104" t="s">
        <v>357</v>
      </c>
      <c r="I104" t="str">
        <f t="shared" si="2"/>
        <v>OK</v>
      </c>
      <c r="J104" t="str">
        <f t="shared" si="3"/>
        <v>OK</v>
      </c>
      <c r="K104" t="str">
        <f>IF(ISNA(VLOOKUP(B104,Conturi!A:A,1,FALSE)),"Lipsă","OK")</f>
        <v>OK</v>
      </c>
      <c r="L104" t="str">
        <f>IF(ISBLANK(C104),"Retragere sau depunere",IF(ISNA(VLOOKUP(C104,Conturi!A:A,1,FALSE)),"Lipsă","OK"))</f>
        <v>OK</v>
      </c>
    </row>
    <row r="105" spans="1:12">
      <c r="A105">
        <v>119</v>
      </c>
      <c r="B105">
        <v>1035</v>
      </c>
      <c r="D105">
        <v>2892.62</v>
      </c>
      <c r="E105" s="2">
        <v>44914</v>
      </c>
      <c r="F105" t="s">
        <v>358</v>
      </c>
      <c r="I105" t="str">
        <f t="shared" si="2"/>
        <v>OK</v>
      </c>
      <c r="J105" t="str">
        <f t="shared" si="3"/>
        <v>Lipsă</v>
      </c>
      <c r="K105" t="str">
        <f>IF(ISNA(VLOOKUP(B105,Conturi!A:A,1,FALSE)),"Lipsă","OK")</f>
        <v>OK</v>
      </c>
      <c r="L105" t="str">
        <f>IF(ISBLANK(C105),"Retragere sau depunere",IF(ISNA(VLOOKUP(C105,Conturi!A:A,1,FALSE)),"Lipsă","OK"))</f>
        <v>Retragere sau depunere</v>
      </c>
    </row>
    <row r="106" spans="1:12">
      <c r="A106">
        <v>120</v>
      </c>
      <c r="B106">
        <v>1036</v>
      </c>
      <c r="D106">
        <v>808.6</v>
      </c>
      <c r="E106" s="2">
        <v>44755</v>
      </c>
      <c r="F106" t="s">
        <v>358</v>
      </c>
      <c r="I106" t="str">
        <f t="shared" si="2"/>
        <v>OK</v>
      </c>
      <c r="J106" t="str">
        <f t="shared" si="3"/>
        <v>Lipsă</v>
      </c>
      <c r="K106" t="str">
        <f>IF(ISNA(VLOOKUP(B106,Conturi!A:A,1,FALSE)),"Lipsă","OK")</f>
        <v>OK</v>
      </c>
      <c r="L106" t="str">
        <f>IF(ISBLANK(C106),"Retragere sau depunere",IF(ISNA(VLOOKUP(C106,Conturi!A:A,1,FALSE)),"Lipsă","OK"))</f>
        <v>Retragere sau depunere</v>
      </c>
    </row>
    <row r="107" spans="1:12">
      <c r="A107">
        <v>121</v>
      </c>
      <c r="B107">
        <v>1036</v>
      </c>
      <c r="C107">
        <v>1067</v>
      </c>
      <c r="D107">
        <v>791.43</v>
      </c>
      <c r="E107" s="2">
        <v>44914</v>
      </c>
      <c r="F107" t="s">
        <v>357</v>
      </c>
      <c r="I107" t="str">
        <f t="shared" si="2"/>
        <v>OK</v>
      </c>
      <c r="J107" t="str">
        <f t="shared" si="3"/>
        <v>OK</v>
      </c>
      <c r="K107" t="str">
        <f>IF(ISNA(VLOOKUP(B107,Conturi!A:A,1,FALSE)),"Lipsă","OK")</f>
        <v>OK</v>
      </c>
      <c r="L107" t="str">
        <f>IF(ISBLANK(C107),"Retragere sau depunere",IF(ISNA(VLOOKUP(C107,Conturi!A:A,1,FALSE)),"Lipsă","OK"))</f>
        <v>OK</v>
      </c>
    </row>
    <row r="108" spans="1:12">
      <c r="A108">
        <v>122</v>
      </c>
      <c r="B108">
        <v>1036</v>
      </c>
      <c r="D108">
        <v>4418.3</v>
      </c>
      <c r="E108" s="2">
        <v>44614</v>
      </c>
      <c r="F108" t="s">
        <v>356</v>
      </c>
      <c r="I108" t="str">
        <f t="shared" si="2"/>
        <v>OK</v>
      </c>
      <c r="J108" t="str">
        <f t="shared" si="3"/>
        <v>Lipsă</v>
      </c>
      <c r="K108" t="str">
        <f>IF(ISNA(VLOOKUP(B108,Conturi!A:A,1,FALSE)),"Lipsă","OK")</f>
        <v>OK</v>
      </c>
      <c r="L108" t="str">
        <f>IF(ISBLANK(C108),"Retragere sau depunere",IF(ISNA(VLOOKUP(C108,Conturi!A:A,1,FALSE)),"Lipsă","OK"))</f>
        <v>Retragere sau depunere</v>
      </c>
    </row>
    <row r="109" spans="1:12">
      <c r="A109">
        <v>123</v>
      </c>
      <c r="B109">
        <v>1036</v>
      </c>
      <c r="D109">
        <v>2711.19</v>
      </c>
      <c r="E109" s="2">
        <v>44619</v>
      </c>
      <c r="F109" t="s">
        <v>358</v>
      </c>
      <c r="I109" t="str">
        <f t="shared" si="2"/>
        <v>OK</v>
      </c>
      <c r="J109" t="str">
        <f t="shared" si="3"/>
        <v>Lipsă</v>
      </c>
      <c r="K109" t="str">
        <f>IF(ISNA(VLOOKUP(B109,Conturi!A:A,1,FALSE)),"Lipsă","OK")</f>
        <v>OK</v>
      </c>
      <c r="L109" t="str">
        <f>IF(ISBLANK(C109),"Retragere sau depunere",IF(ISNA(VLOOKUP(C109,Conturi!A:A,1,FALSE)),"Lipsă","OK"))</f>
        <v>Retragere sau depunere</v>
      </c>
    </row>
    <row r="110" spans="1:12">
      <c r="A110">
        <v>124</v>
      </c>
      <c r="B110">
        <v>1037</v>
      </c>
      <c r="D110">
        <v>3946.51</v>
      </c>
      <c r="E110" s="2">
        <v>44817</v>
      </c>
      <c r="F110" t="s">
        <v>358</v>
      </c>
      <c r="I110" t="str">
        <f t="shared" si="2"/>
        <v>OK</v>
      </c>
      <c r="J110" t="str">
        <f t="shared" si="3"/>
        <v>Lipsă</v>
      </c>
      <c r="K110" t="str">
        <f>IF(ISNA(VLOOKUP(B110,Conturi!A:A,1,FALSE)),"Lipsă","OK")</f>
        <v>OK</v>
      </c>
      <c r="L110" t="str">
        <f>IF(ISBLANK(C110),"Retragere sau depunere",IF(ISNA(VLOOKUP(C110,Conturi!A:A,1,FALSE)),"Lipsă","OK"))</f>
        <v>Retragere sau depunere</v>
      </c>
    </row>
    <row r="111" spans="1:12">
      <c r="A111">
        <v>125</v>
      </c>
      <c r="B111">
        <v>1038</v>
      </c>
      <c r="C111">
        <v>1053</v>
      </c>
      <c r="D111">
        <v>4503.37</v>
      </c>
      <c r="E111" s="2">
        <v>44714</v>
      </c>
      <c r="F111" t="s">
        <v>357</v>
      </c>
      <c r="I111" t="str">
        <f t="shared" si="2"/>
        <v>OK</v>
      </c>
      <c r="J111" t="str">
        <f t="shared" si="3"/>
        <v>OK</v>
      </c>
      <c r="K111" t="str">
        <f>IF(ISNA(VLOOKUP(B111,Conturi!A:A,1,FALSE)),"Lipsă","OK")</f>
        <v>OK</v>
      </c>
      <c r="L111" t="str">
        <f>IF(ISBLANK(C111),"Retragere sau depunere",IF(ISNA(VLOOKUP(C111,Conturi!A:A,1,FALSE)),"Lipsă","OK"))</f>
        <v>OK</v>
      </c>
    </row>
    <row r="112" spans="1:12">
      <c r="A112">
        <v>126</v>
      </c>
      <c r="B112">
        <v>1038</v>
      </c>
      <c r="D112">
        <v>4280.8599999999997</v>
      </c>
      <c r="E112" s="2">
        <v>44788</v>
      </c>
      <c r="F112" t="s">
        <v>356</v>
      </c>
      <c r="I112" t="str">
        <f t="shared" si="2"/>
        <v>OK</v>
      </c>
      <c r="J112" t="str">
        <f t="shared" si="3"/>
        <v>Lipsă</v>
      </c>
      <c r="K112" t="str">
        <f>IF(ISNA(VLOOKUP(B112,Conturi!A:A,1,FALSE)),"Lipsă","OK")</f>
        <v>OK</v>
      </c>
      <c r="L112" t="str">
        <f>IF(ISBLANK(C112),"Retragere sau depunere",IF(ISNA(VLOOKUP(C112,Conturi!A:A,1,FALSE)),"Lipsă","OK"))</f>
        <v>Retragere sau depunere</v>
      </c>
    </row>
    <row r="113" spans="1:12">
      <c r="A113">
        <v>127</v>
      </c>
      <c r="B113">
        <v>1039</v>
      </c>
      <c r="D113">
        <v>3812.79</v>
      </c>
      <c r="E113" s="2">
        <v>44648</v>
      </c>
      <c r="F113" t="s">
        <v>358</v>
      </c>
      <c r="I113" t="str">
        <f t="shared" si="2"/>
        <v>OK</v>
      </c>
      <c r="J113" t="str">
        <f t="shared" si="3"/>
        <v>Lipsă</v>
      </c>
      <c r="K113" t="str">
        <f>IF(ISNA(VLOOKUP(B113,Conturi!A:A,1,FALSE)),"Lipsă","OK")</f>
        <v>OK</v>
      </c>
      <c r="L113" t="str">
        <f>IF(ISBLANK(C113),"Retragere sau depunere",IF(ISNA(VLOOKUP(C113,Conturi!A:A,1,FALSE)),"Lipsă","OK"))</f>
        <v>Retragere sau depunere</v>
      </c>
    </row>
    <row r="114" spans="1:12">
      <c r="A114">
        <v>128</v>
      </c>
      <c r="B114">
        <v>1040</v>
      </c>
      <c r="C114">
        <v>1064</v>
      </c>
      <c r="D114">
        <v>3546.47</v>
      </c>
      <c r="E114" s="2">
        <v>44667</v>
      </c>
      <c r="F114" t="s">
        <v>357</v>
      </c>
      <c r="I114" t="str">
        <f t="shared" si="2"/>
        <v>OK</v>
      </c>
      <c r="J114" t="str">
        <f t="shared" si="3"/>
        <v>OK</v>
      </c>
      <c r="K114" t="str">
        <f>IF(ISNA(VLOOKUP(B114,Conturi!A:A,1,FALSE)),"Lipsă","OK")</f>
        <v>OK</v>
      </c>
      <c r="L114" t="str">
        <f>IF(ISBLANK(C114),"Retragere sau depunere",IF(ISNA(VLOOKUP(C114,Conturi!A:A,1,FALSE)),"Lipsă","OK"))</f>
        <v>OK</v>
      </c>
    </row>
    <row r="115" spans="1:12">
      <c r="A115">
        <v>129</v>
      </c>
      <c r="B115">
        <v>1040</v>
      </c>
      <c r="C115">
        <v>1075</v>
      </c>
      <c r="D115">
        <v>3790.27</v>
      </c>
      <c r="E115" s="2">
        <v>44786</v>
      </c>
      <c r="F115" t="s">
        <v>357</v>
      </c>
      <c r="I115" t="str">
        <f t="shared" si="2"/>
        <v>OK</v>
      </c>
      <c r="J115" t="str">
        <f t="shared" si="3"/>
        <v>OK</v>
      </c>
      <c r="K115" t="str">
        <f>IF(ISNA(VLOOKUP(B115,Conturi!A:A,1,FALSE)),"Lipsă","OK")</f>
        <v>OK</v>
      </c>
      <c r="L115" t="str">
        <f>IF(ISBLANK(C115),"Retragere sau depunere",IF(ISNA(VLOOKUP(C115,Conturi!A:A,1,FALSE)),"Lipsă","OK"))</f>
        <v>OK</v>
      </c>
    </row>
    <row r="116" spans="1:12">
      <c r="A116">
        <v>130</v>
      </c>
      <c r="B116">
        <v>1040</v>
      </c>
      <c r="D116">
        <v>3399.12</v>
      </c>
      <c r="E116" s="2">
        <v>44614</v>
      </c>
      <c r="F116" t="s">
        <v>358</v>
      </c>
      <c r="I116" t="str">
        <f t="shared" si="2"/>
        <v>OK</v>
      </c>
      <c r="J116" t="str">
        <f t="shared" si="3"/>
        <v>Lipsă</v>
      </c>
      <c r="K116" t="str">
        <f>IF(ISNA(VLOOKUP(B116,Conturi!A:A,1,FALSE)),"Lipsă","OK")</f>
        <v>OK</v>
      </c>
      <c r="L116" t="str">
        <f>IF(ISBLANK(C116),"Retragere sau depunere",IF(ISNA(VLOOKUP(C116,Conturi!A:A,1,FALSE)),"Lipsă","OK"))</f>
        <v>Retragere sau depunere</v>
      </c>
    </row>
    <row r="117" spans="1:12">
      <c r="A117">
        <v>131</v>
      </c>
      <c r="B117">
        <v>1040</v>
      </c>
      <c r="D117">
        <v>1273.69</v>
      </c>
      <c r="E117" s="2">
        <v>44798</v>
      </c>
      <c r="F117" t="s">
        <v>358</v>
      </c>
      <c r="I117" t="str">
        <f t="shared" si="2"/>
        <v>OK</v>
      </c>
      <c r="J117" t="str">
        <f t="shared" si="3"/>
        <v>Lipsă</v>
      </c>
      <c r="K117" t="str">
        <f>IF(ISNA(VLOOKUP(B117,Conturi!A:A,1,FALSE)),"Lipsă","OK")</f>
        <v>OK</v>
      </c>
      <c r="L117" t="str">
        <f>IF(ISBLANK(C117),"Retragere sau depunere",IF(ISNA(VLOOKUP(C117,Conturi!A:A,1,FALSE)),"Lipsă","OK"))</f>
        <v>Retragere sau depunere</v>
      </c>
    </row>
    <row r="118" spans="1:12">
      <c r="A118">
        <v>132</v>
      </c>
      <c r="B118">
        <v>1040</v>
      </c>
      <c r="D118">
        <v>3409.8</v>
      </c>
      <c r="E118" s="2">
        <v>44887</v>
      </c>
      <c r="F118" t="s">
        <v>356</v>
      </c>
      <c r="I118" t="str">
        <f t="shared" si="2"/>
        <v>OK</v>
      </c>
      <c r="J118" t="str">
        <f t="shared" si="3"/>
        <v>Lipsă</v>
      </c>
      <c r="K118" t="str">
        <f>IF(ISNA(VLOOKUP(B118,Conturi!A:A,1,FALSE)),"Lipsă","OK")</f>
        <v>OK</v>
      </c>
      <c r="L118" t="str">
        <f>IF(ISBLANK(C118),"Retragere sau depunere",IF(ISNA(VLOOKUP(C118,Conturi!A:A,1,FALSE)),"Lipsă","OK"))</f>
        <v>Retragere sau depunere</v>
      </c>
    </row>
    <row r="119" spans="1:12">
      <c r="A119">
        <v>133</v>
      </c>
      <c r="B119">
        <v>1041</v>
      </c>
      <c r="D119">
        <v>1765.47</v>
      </c>
      <c r="E119" s="2">
        <v>44693</v>
      </c>
      <c r="F119" t="s">
        <v>356</v>
      </c>
      <c r="I119" t="str">
        <f t="shared" si="2"/>
        <v>OK</v>
      </c>
      <c r="J119" t="str">
        <f t="shared" si="3"/>
        <v>Lipsă</v>
      </c>
      <c r="K119" t="str">
        <f>IF(ISNA(VLOOKUP(B119,Conturi!A:A,1,FALSE)),"Lipsă","OK")</f>
        <v>OK</v>
      </c>
      <c r="L119" t="str">
        <f>IF(ISBLANK(C119),"Retragere sau depunere",IF(ISNA(VLOOKUP(C119,Conturi!A:A,1,FALSE)),"Lipsă","OK"))</f>
        <v>Retragere sau depunere</v>
      </c>
    </row>
    <row r="120" spans="1:12">
      <c r="A120">
        <v>134</v>
      </c>
      <c r="B120">
        <v>1042</v>
      </c>
      <c r="C120">
        <v>1095</v>
      </c>
      <c r="D120">
        <v>3663.26</v>
      </c>
      <c r="E120" s="2">
        <v>44633</v>
      </c>
      <c r="F120" t="s">
        <v>357</v>
      </c>
      <c r="I120" t="str">
        <f t="shared" si="2"/>
        <v>OK</v>
      </c>
      <c r="J120" t="str">
        <f t="shared" si="3"/>
        <v>OK</v>
      </c>
      <c r="K120" t="str">
        <f>IF(ISNA(VLOOKUP(B120,Conturi!A:A,1,FALSE)),"Lipsă","OK")</f>
        <v>OK</v>
      </c>
      <c r="L120" t="str">
        <f>IF(ISBLANK(C120),"Retragere sau depunere",IF(ISNA(VLOOKUP(C120,Conturi!A:A,1,FALSE)),"Lipsă","OK"))</f>
        <v>OK</v>
      </c>
    </row>
    <row r="121" spans="1:12">
      <c r="A121">
        <v>135</v>
      </c>
      <c r="B121">
        <v>1042</v>
      </c>
      <c r="C121">
        <v>1186</v>
      </c>
      <c r="D121">
        <v>633.13</v>
      </c>
      <c r="E121" s="2">
        <v>44822</v>
      </c>
      <c r="F121" t="s">
        <v>357</v>
      </c>
      <c r="I121" t="str">
        <f t="shared" si="2"/>
        <v>OK</v>
      </c>
      <c r="J121" t="str">
        <f t="shared" si="3"/>
        <v>OK</v>
      </c>
      <c r="K121" t="str">
        <f>IF(ISNA(VLOOKUP(B121,Conturi!A:A,1,FALSE)),"Lipsă","OK")</f>
        <v>OK</v>
      </c>
      <c r="L121" t="str">
        <f>IF(ISBLANK(C121),"Retragere sau depunere",IF(ISNA(VLOOKUP(C121,Conturi!A:A,1,FALSE)),"Lipsă","OK"))</f>
        <v>OK</v>
      </c>
    </row>
    <row r="122" spans="1:12">
      <c r="A122">
        <v>136</v>
      </c>
      <c r="B122">
        <v>1043</v>
      </c>
      <c r="D122">
        <v>16.46</v>
      </c>
      <c r="E122" s="2">
        <v>44795</v>
      </c>
      <c r="F122" t="s">
        <v>358</v>
      </c>
      <c r="I122" t="str">
        <f t="shared" si="2"/>
        <v>OK</v>
      </c>
      <c r="J122" t="str">
        <f t="shared" si="3"/>
        <v>Lipsă</v>
      </c>
      <c r="K122" t="str">
        <f>IF(ISNA(VLOOKUP(B122,Conturi!A:A,1,FALSE)),"Lipsă","OK")</f>
        <v>OK</v>
      </c>
      <c r="L122" t="str">
        <f>IF(ISBLANK(C122),"Retragere sau depunere",IF(ISNA(VLOOKUP(C122,Conturi!A:A,1,FALSE)),"Lipsă","OK"))</f>
        <v>Retragere sau depunere</v>
      </c>
    </row>
    <row r="123" spans="1:12">
      <c r="A123">
        <v>137</v>
      </c>
      <c r="B123">
        <v>1044</v>
      </c>
      <c r="D123">
        <v>65.349999999999994</v>
      </c>
      <c r="E123" s="2">
        <v>44872</v>
      </c>
      <c r="F123" t="s">
        <v>358</v>
      </c>
      <c r="I123" t="str">
        <f t="shared" si="2"/>
        <v>OK</v>
      </c>
      <c r="J123" t="str">
        <f t="shared" si="3"/>
        <v>Lipsă</v>
      </c>
      <c r="K123" t="str">
        <f>IF(ISNA(VLOOKUP(B123,Conturi!A:A,1,FALSE)),"Lipsă","OK")</f>
        <v>OK</v>
      </c>
      <c r="L123" t="str">
        <f>IF(ISBLANK(C123),"Retragere sau depunere",IF(ISNA(VLOOKUP(C123,Conturi!A:A,1,FALSE)),"Lipsă","OK"))</f>
        <v>Retragere sau depunere</v>
      </c>
    </row>
    <row r="124" spans="1:12">
      <c r="A124">
        <v>138</v>
      </c>
      <c r="B124">
        <v>1044</v>
      </c>
      <c r="C124">
        <v>1160</v>
      </c>
      <c r="D124">
        <v>2081.5700000000002</v>
      </c>
      <c r="E124" s="2">
        <v>44728</v>
      </c>
      <c r="F124" t="s">
        <v>357</v>
      </c>
      <c r="I124" t="str">
        <f t="shared" si="2"/>
        <v>OK</v>
      </c>
      <c r="J124" t="str">
        <f t="shared" si="3"/>
        <v>OK</v>
      </c>
      <c r="K124" t="str">
        <f>IF(ISNA(VLOOKUP(B124,Conturi!A:A,1,FALSE)),"Lipsă","OK")</f>
        <v>OK</v>
      </c>
      <c r="L124" t="str">
        <f>IF(ISBLANK(C124),"Retragere sau depunere",IF(ISNA(VLOOKUP(C124,Conturi!A:A,1,FALSE)),"Lipsă","OK"))</f>
        <v>OK</v>
      </c>
    </row>
    <row r="125" spans="1:12">
      <c r="A125">
        <v>139</v>
      </c>
      <c r="B125">
        <v>1044</v>
      </c>
      <c r="D125">
        <v>2381.63</v>
      </c>
      <c r="E125" s="2">
        <v>44601</v>
      </c>
      <c r="F125" t="s">
        <v>356</v>
      </c>
      <c r="I125" t="str">
        <f t="shared" si="2"/>
        <v>OK</v>
      </c>
      <c r="J125" t="str">
        <f t="shared" si="3"/>
        <v>Lipsă</v>
      </c>
      <c r="K125" t="str">
        <f>IF(ISNA(VLOOKUP(B125,Conturi!A:A,1,FALSE)),"Lipsă","OK")</f>
        <v>OK</v>
      </c>
      <c r="L125" t="str">
        <f>IF(ISBLANK(C125),"Retragere sau depunere",IF(ISNA(VLOOKUP(C125,Conturi!A:A,1,FALSE)),"Lipsă","OK"))</f>
        <v>Retragere sau depunere</v>
      </c>
    </row>
    <row r="126" spans="1:12">
      <c r="A126">
        <v>140</v>
      </c>
      <c r="B126">
        <v>1044</v>
      </c>
      <c r="C126">
        <v>1001</v>
      </c>
      <c r="D126">
        <v>3047.22</v>
      </c>
      <c r="E126" s="2">
        <v>44565</v>
      </c>
      <c r="F126" t="s">
        <v>357</v>
      </c>
      <c r="I126" t="str">
        <f t="shared" si="2"/>
        <v>OK</v>
      </c>
      <c r="J126" t="str">
        <f t="shared" si="3"/>
        <v>OK</v>
      </c>
      <c r="K126" t="str">
        <f>IF(ISNA(VLOOKUP(B126,Conturi!A:A,1,FALSE)),"Lipsă","OK")</f>
        <v>OK</v>
      </c>
      <c r="L126" t="str">
        <f>IF(ISBLANK(C126),"Retragere sau depunere",IF(ISNA(VLOOKUP(C126,Conturi!A:A,1,FALSE)),"Lipsă","OK"))</f>
        <v>OK</v>
      </c>
    </row>
    <row r="127" spans="1:12">
      <c r="A127">
        <v>141</v>
      </c>
      <c r="B127">
        <v>1045</v>
      </c>
      <c r="D127">
        <v>1277.92</v>
      </c>
      <c r="E127" s="2">
        <v>44702</v>
      </c>
      <c r="F127" t="s">
        <v>358</v>
      </c>
      <c r="I127" t="str">
        <f t="shared" si="2"/>
        <v>OK</v>
      </c>
      <c r="J127" t="str">
        <f t="shared" si="3"/>
        <v>Lipsă</v>
      </c>
      <c r="K127" t="str">
        <f>IF(ISNA(VLOOKUP(B127,Conturi!A:A,1,FALSE)),"Lipsă","OK")</f>
        <v>OK</v>
      </c>
      <c r="L127" t="str">
        <f>IF(ISBLANK(C127),"Retragere sau depunere",IF(ISNA(VLOOKUP(C127,Conturi!A:A,1,FALSE)),"Lipsă","OK"))</f>
        <v>Retragere sau depunere</v>
      </c>
    </row>
    <row r="128" spans="1:12">
      <c r="A128">
        <v>142</v>
      </c>
      <c r="B128">
        <v>1045</v>
      </c>
      <c r="D128">
        <v>2312.11</v>
      </c>
      <c r="E128" s="2">
        <v>44771</v>
      </c>
      <c r="F128" t="s">
        <v>358</v>
      </c>
      <c r="I128" t="str">
        <f t="shared" si="2"/>
        <v>OK</v>
      </c>
      <c r="J128" t="str">
        <f t="shared" si="3"/>
        <v>Lipsă</v>
      </c>
      <c r="K128" t="str">
        <f>IF(ISNA(VLOOKUP(B128,Conturi!A:A,1,FALSE)),"Lipsă","OK")</f>
        <v>OK</v>
      </c>
      <c r="L128" t="str">
        <f>IF(ISBLANK(C128),"Retragere sau depunere",IF(ISNA(VLOOKUP(C128,Conturi!A:A,1,FALSE)),"Lipsă","OK"))</f>
        <v>Retragere sau depunere</v>
      </c>
    </row>
    <row r="129" spans="1:12">
      <c r="A129">
        <v>143</v>
      </c>
      <c r="B129">
        <v>1045</v>
      </c>
      <c r="D129">
        <v>1784.27</v>
      </c>
      <c r="E129" s="2">
        <v>44739</v>
      </c>
      <c r="F129" t="s">
        <v>356</v>
      </c>
      <c r="I129" t="str">
        <f t="shared" si="2"/>
        <v>OK</v>
      </c>
      <c r="J129" t="str">
        <f t="shared" si="3"/>
        <v>Lipsă</v>
      </c>
      <c r="K129" t="str">
        <f>IF(ISNA(VLOOKUP(B129,Conturi!A:A,1,FALSE)),"Lipsă","OK")</f>
        <v>OK</v>
      </c>
      <c r="L129" t="str">
        <f>IF(ISBLANK(C129),"Retragere sau depunere",IF(ISNA(VLOOKUP(C129,Conturi!A:A,1,FALSE)),"Lipsă","OK"))</f>
        <v>Retragere sau depunere</v>
      </c>
    </row>
    <row r="130" spans="1:12">
      <c r="A130">
        <v>144</v>
      </c>
      <c r="B130">
        <v>1045</v>
      </c>
      <c r="D130">
        <v>3089.44</v>
      </c>
      <c r="E130" s="2">
        <v>44794</v>
      </c>
      <c r="F130" t="s">
        <v>356</v>
      </c>
      <c r="I130" t="str">
        <f t="shared" si="2"/>
        <v>OK</v>
      </c>
      <c r="J130" t="str">
        <f t="shared" si="3"/>
        <v>Lipsă</v>
      </c>
      <c r="K130" t="str">
        <f>IF(ISNA(VLOOKUP(B130,Conturi!A:A,1,FALSE)),"Lipsă","OK")</f>
        <v>OK</v>
      </c>
      <c r="L130" t="str">
        <f>IF(ISBLANK(C130),"Retragere sau depunere",IF(ISNA(VLOOKUP(C130,Conturi!A:A,1,FALSE)),"Lipsă","OK"))</f>
        <v>Retragere sau depunere</v>
      </c>
    </row>
    <row r="131" spans="1:12">
      <c r="A131">
        <v>145</v>
      </c>
      <c r="B131">
        <v>1045</v>
      </c>
      <c r="D131">
        <v>836.52</v>
      </c>
      <c r="E131" s="2">
        <v>44580</v>
      </c>
      <c r="F131" t="s">
        <v>358</v>
      </c>
      <c r="I131" t="str">
        <f t="shared" ref="I131:I194" si="4">IF(D131&lt;0,"Greșit","OK")</f>
        <v>OK</v>
      </c>
      <c r="J131" t="str">
        <f t="shared" ref="J131:J194" si="5">IF(ISBLANK(C131),"Lipsă","OK")</f>
        <v>Lipsă</v>
      </c>
      <c r="K131" t="str">
        <f>IF(ISNA(VLOOKUP(B131,Conturi!A:A,1,FALSE)),"Lipsă","OK")</f>
        <v>OK</v>
      </c>
      <c r="L131" t="str">
        <f>IF(ISBLANK(C131),"Retragere sau depunere",IF(ISNA(VLOOKUP(C131,Conturi!A:A,1,FALSE)),"Lipsă","OK"))</f>
        <v>Retragere sau depunere</v>
      </c>
    </row>
    <row r="132" spans="1:12">
      <c r="A132">
        <v>146</v>
      </c>
      <c r="B132">
        <v>1046</v>
      </c>
      <c r="C132">
        <v>1189</v>
      </c>
      <c r="D132">
        <v>4659.29</v>
      </c>
      <c r="E132" s="2">
        <v>44587</v>
      </c>
      <c r="F132" t="s">
        <v>357</v>
      </c>
      <c r="I132" t="str">
        <f t="shared" si="4"/>
        <v>OK</v>
      </c>
      <c r="J132" t="str">
        <f t="shared" si="5"/>
        <v>OK</v>
      </c>
      <c r="K132" t="str">
        <f>IF(ISNA(VLOOKUP(B132,Conturi!A:A,1,FALSE)),"Lipsă","OK")</f>
        <v>OK</v>
      </c>
      <c r="L132" t="str">
        <f>IF(ISBLANK(C132),"Retragere sau depunere",IF(ISNA(VLOOKUP(C132,Conturi!A:A,1,FALSE)),"Lipsă","OK"))</f>
        <v>OK</v>
      </c>
    </row>
    <row r="133" spans="1:12">
      <c r="A133">
        <v>147</v>
      </c>
      <c r="B133">
        <v>1046</v>
      </c>
      <c r="C133">
        <v>1085</v>
      </c>
      <c r="D133">
        <v>4904.59</v>
      </c>
      <c r="E133" s="2">
        <v>44787</v>
      </c>
      <c r="F133" t="s">
        <v>357</v>
      </c>
      <c r="I133" t="str">
        <f t="shared" si="4"/>
        <v>OK</v>
      </c>
      <c r="J133" t="str">
        <f t="shared" si="5"/>
        <v>OK</v>
      </c>
      <c r="K133" t="str">
        <f>IF(ISNA(VLOOKUP(B133,Conturi!A:A,1,FALSE)),"Lipsă","OK")</f>
        <v>OK</v>
      </c>
      <c r="L133" t="str">
        <f>IF(ISBLANK(C133),"Retragere sau depunere",IF(ISNA(VLOOKUP(C133,Conturi!A:A,1,FALSE)),"Lipsă","OK"))</f>
        <v>OK</v>
      </c>
    </row>
    <row r="134" spans="1:12">
      <c r="A134">
        <v>148</v>
      </c>
      <c r="B134">
        <v>1046</v>
      </c>
      <c r="D134">
        <v>1778.59</v>
      </c>
      <c r="E134" s="2">
        <v>44692</v>
      </c>
      <c r="F134" t="s">
        <v>356</v>
      </c>
      <c r="I134" t="str">
        <f t="shared" si="4"/>
        <v>OK</v>
      </c>
      <c r="J134" t="str">
        <f t="shared" si="5"/>
        <v>Lipsă</v>
      </c>
      <c r="K134" t="str">
        <f>IF(ISNA(VLOOKUP(B134,Conturi!A:A,1,FALSE)),"Lipsă","OK")</f>
        <v>OK</v>
      </c>
      <c r="L134" t="str">
        <f>IF(ISBLANK(C134),"Retragere sau depunere",IF(ISNA(VLOOKUP(C134,Conturi!A:A,1,FALSE)),"Lipsă","OK"))</f>
        <v>Retragere sau depunere</v>
      </c>
    </row>
    <row r="135" spans="1:12">
      <c r="A135">
        <v>149</v>
      </c>
      <c r="B135">
        <v>1047</v>
      </c>
      <c r="C135">
        <v>1136</v>
      </c>
      <c r="D135">
        <v>4753.6000000000004</v>
      </c>
      <c r="E135" s="2">
        <v>44714</v>
      </c>
      <c r="F135" t="s">
        <v>357</v>
      </c>
      <c r="I135" t="str">
        <f t="shared" si="4"/>
        <v>OK</v>
      </c>
      <c r="J135" t="str">
        <f t="shared" si="5"/>
        <v>OK</v>
      </c>
      <c r="K135" t="str">
        <f>IF(ISNA(VLOOKUP(B135,Conturi!A:A,1,FALSE)),"Lipsă","OK")</f>
        <v>OK</v>
      </c>
      <c r="L135" t="str">
        <f>IF(ISBLANK(C135),"Retragere sau depunere",IF(ISNA(VLOOKUP(C135,Conturi!A:A,1,FALSE)),"Lipsă","OK"))</f>
        <v>OK</v>
      </c>
    </row>
    <row r="136" spans="1:12">
      <c r="A136">
        <v>150</v>
      </c>
      <c r="B136">
        <v>1047</v>
      </c>
      <c r="C136">
        <v>1072</v>
      </c>
      <c r="D136">
        <v>1155.51</v>
      </c>
      <c r="E136" s="2">
        <v>44800</v>
      </c>
      <c r="F136" t="s">
        <v>357</v>
      </c>
      <c r="I136" t="str">
        <f t="shared" si="4"/>
        <v>OK</v>
      </c>
      <c r="J136" t="str">
        <f t="shared" si="5"/>
        <v>OK</v>
      </c>
      <c r="K136" t="str">
        <f>IF(ISNA(VLOOKUP(B136,Conturi!A:A,1,FALSE)),"Lipsă","OK")</f>
        <v>OK</v>
      </c>
      <c r="L136" t="str">
        <f>IF(ISBLANK(C136),"Retragere sau depunere",IF(ISNA(VLOOKUP(C136,Conturi!A:A,1,FALSE)),"Lipsă","OK"))</f>
        <v>OK</v>
      </c>
    </row>
    <row r="137" spans="1:12">
      <c r="A137">
        <v>151</v>
      </c>
      <c r="B137">
        <v>1047</v>
      </c>
      <c r="D137">
        <v>1134.8599999999999</v>
      </c>
      <c r="E137" s="2">
        <v>44706</v>
      </c>
      <c r="F137" t="s">
        <v>356</v>
      </c>
      <c r="I137" t="str">
        <f t="shared" si="4"/>
        <v>OK</v>
      </c>
      <c r="J137" t="str">
        <f t="shared" si="5"/>
        <v>Lipsă</v>
      </c>
      <c r="K137" t="str">
        <f>IF(ISNA(VLOOKUP(B137,Conturi!A:A,1,FALSE)),"Lipsă","OK")</f>
        <v>OK</v>
      </c>
      <c r="L137" t="str">
        <f>IF(ISBLANK(C137),"Retragere sau depunere",IF(ISNA(VLOOKUP(C137,Conturi!A:A,1,FALSE)),"Lipsă","OK"))</f>
        <v>Retragere sau depunere</v>
      </c>
    </row>
    <row r="138" spans="1:12">
      <c r="A138">
        <v>152</v>
      </c>
      <c r="B138">
        <v>1047</v>
      </c>
      <c r="D138">
        <v>1076.01</v>
      </c>
      <c r="E138" s="2">
        <v>44902</v>
      </c>
      <c r="F138" t="s">
        <v>356</v>
      </c>
      <c r="I138" t="str">
        <f t="shared" si="4"/>
        <v>OK</v>
      </c>
      <c r="J138" t="str">
        <f t="shared" si="5"/>
        <v>Lipsă</v>
      </c>
      <c r="K138" t="str">
        <f>IF(ISNA(VLOOKUP(B138,Conturi!A:A,1,FALSE)),"Lipsă","OK")</f>
        <v>OK</v>
      </c>
      <c r="L138" t="str">
        <f>IF(ISBLANK(C138),"Retragere sau depunere",IF(ISNA(VLOOKUP(C138,Conturi!A:A,1,FALSE)),"Lipsă","OK"))</f>
        <v>Retragere sau depunere</v>
      </c>
    </row>
    <row r="139" spans="1:12">
      <c r="A139">
        <v>153</v>
      </c>
      <c r="B139">
        <v>1048</v>
      </c>
      <c r="D139">
        <v>4894.24</v>
      </c>
      <c r="E139" s="2">
        <v>44773</v>
      </c>
      <c r="F139" t="s">
        <v>358</v>
      </c>
      <c r="I139" t="str">
        <f t="shared" si="4"/>
        <v>OK</v>
      </c>
      <c r="J139" t="str">
        <f t="shared" si="5"/>
        <v>Lipsă</v>
      </c>
      <c r="K139" t="str">
        <f>IF(ISNA(VLOOKUP(B139,Conturi!A:A,1,FALSE)),"Lipsă","OK")</f>
        <v>OK</v>
      </c>
      <c r="L139" t="str">
        <f>IF(ISBLANK(C139),"Retragere sau depunere",IF(ISNA(VLOOKUP(C139,Conturi!A:A,1,FALSE)),"Lipsă","OK"))</f>
        <v>Retragere sau depunere</v>
      </c>
    </row>
    <row r="140" spans="1:12">
      <c r="A140">
        <v>154</v>
      </c>
      <c r="B140">
        <v>1048</v>
      </c>
      <c r="D140">
        <v>1327.68</v>
      </c>
      <c r="E140" s="2">
        <v>44804</v>
      </c>
      <c r="F140" t="s">
        <v>356</v>
      </c>
      <c r="I140" t="str">
        <f t="shared" si="4"/>
        <v>OK</v>
      </c>
      <c r="J140" t="str">
        <f t="shared" si="5"/>
        <v>Lipsă</v>
      </c>
      <c r="K140" t="str">
        <f>IF(ISNA(VLOOKUP(B140,Conturi!A:A,1,FALSE)),"Lipsă","OK")</f>
        <v>OK</v>
      </c>
      <c r="L140" t="str">
        <f>IF(ISBLANK(C140),"Retragere sau depunere",IF(ISNA(VLOOKUP(C140,Conturi!A:A,1,FALSE)),"Lipsă","OK"))</f>
        <v>Retragere sau depunere</v>
      </c>
    </row>
    <row r="141" spans="1:12">
      <c r="A141">
        <v>155</v>
      </c>
      <c r="B141">
        <v>1048</v>
      </c>
      <c r="D141">
        <v>2555.85</v>
      </c>
      <c r="E141" s="2">
        <v>44692</v>
      </c>
      <c r="F141" t="s">
        <v>358</v>
      </c>
      <c r="I141" t="str">
        <f t="shared" si="4"/>
        <v>OK</v>
      </c>
      <c r="J141" t="str">
        <f t="shared" si="5"/>
        <v>Lipsă</v>
      </c>
      <c r="K141" t="str">
        <f>IF(ISNA(VLOOKUP(B141,Conturi!A:A,1,FALSE)),"Lipsă","OK")</f>
        <v>OK</v>
      </c>
      <c r="L141" t="str">
        <f>IF(ISBLANK(C141),"Retragere sau depunere",IF(ISNA(VLOOKUP(C141,Conturi!A:A,1,FALSE)),"Lipsă","OK"))</f>
        <v>Retragere sau depunere</v>
      </c>
    </row>
    <row r="142" spans="1:12">
      <c r="A142">
        <v>156</v>
      </c>
      <c r="B142">
        <v>1048</v>
      </c>
      <c r="D142">
        <v>2732.29</v>
      </c>
      <c r="E142" s="2">
        <v>44908</v>
      </c>
      <c r="F142" t="s">
        <v>358</v>
      </c>
      <c r="I142" t="str">
        <f t="shared" si="4"/>
        <v>OK</v>
      </c>
      <c r="J142" t="str">
        <f t="shared" si="5"/>
        <v>Lipsă</v>
      </c>
      <c r="K142" t="str">
        <f>IF(ISNA(VLOOKUP(B142,Conturi!A:A,1,FALSE)),"Lipsă","OK")</f>
        <v>OK</v>
      </c>
      <c r="L142" t="str">
        <f>IF(ISBLANK(C142),"Retragere sau depunere",IF(ISNA(VLOOKUP(C142,Conturi!A:A,1,FALSE)),"Lipsă","OK"))</f>
        <v>Retragere sau depunere</v>
      </c>
    </row>
    <row r="143" spans="1:12">
      <c r="A143">
        <v>157</v>
      </c>
      <c r="B143">
        <v>1049</v>
      </c>
      <c r="D143">
        <v>791.18</v>
      </c>
      <c r="E143" s="2">
        <v>44683</v>
      </c>
      <c r="F143" t="s">
        <v>358</v>
      </c>
      <c r="I143" t="str">
        <f t="shared" si="4"/>
        <v>OK</v>
      </c>
      <c r="J143" t="str">
        <f t="shared" si="5"/>
        <v>Lipsă</v>
      </c>
      <c r="K143" t="str">
        <f>IF(ISNA(VLOOKUP(B143,Conturi!A:A,1,FALSE)),"Lipsă","OK")</f>
        <v>OK</v>
      </c>
      <c r="L143" t="str">
        <f>IF(ISBLANK(C143),"Retragere sau depunere",IF(ISNA(VLOOKUP(C143,Conturi!A:A,1,FALSE)),"Lipsă","OK"))</f>
        <v>Retragere sau depunere</v>
      </c>
    </row>
    <row r="144" spans="1:12">
      <c r="A144">
        <v>158</v>
      </c>
      <c r="B144">
        <v>1049</v>
      </c>
      <c r="D144">
        <v>1139.3900000000001</v>
      </c>
      <c r="E144" s="2">
        <v>44725</v>
      </c>
      <c r="F144" t="s">
        <v>358</v>
      </c>
      <c r="I144" t="str">
        <f t="shared" si="4"/>
        <v>OK</v>
      </c>
      <c r="J144" t="str">
        <f t="shared" si="5"/>
        <v>Lipsă</v>
      </c>
      <c r="K144" t="str">
        <f>IF(ISNA(VLOOKUP(B144,Conturi!A:A,1,FALSE)),"Lipsă","OK")</f>
        <v>OK</v>
      </c>
      <c r="L144" t="str">
        <f>IF(ISBLANK(C144),"Retragere sau depunere",IF(ISNA(VLOOKUP(C144,Conturi!A:A,1,FALSE)),"Lipsă","OK"))</f>
        <v>Retragere sau depunere</v>
      </c>
    </row>
    <row r="145" spans="1:12">
      <c r="A145">
        <v>159</v>
      </c>
      <c r="B145">
        <v>1049</v>
      </c>
      <c r="D145">
        <v>1833</v>
      </c>
      <c r="E145" s="2">
        <v>44637</v>
      </c>
      <c r="F145" t="s">
        <v>356</v>
      </c>
      <c r="I145" t="str">
        <f t="shared" si="4"/>
        <v>OK</v>
      </c>
      <c r="J145" t="str">
        <f t="shared" si="5"/>
        <v>Lipsă</v>
      </c>
      <c r="K145" t="str">
        <f>IF(ISNA(VLOOKUP(B145,Conturi!A:A,1,FALSE)),"Lipsă","OK")</f>
        <v>OK</v>
      </c>
      <c r="L145" t="str">
        <f>IF(ISBLANK(C145),"Retragere sau depunere",IF(ISNA(VLOOKUP(C145,Conturi!A:A,1,FALSE)),"Lipsă","OK"))</f>
        <v>Retragere sau depunere</v>
      </c>
    </row>
    <row r="146" spans="1:12">
      <c r="A146">
        <v>160</v>
      </c>
      <c r="B146">
        <v>1050</v>
      </c>
      <c r="D146">
        <v>1899.74</v>
      </c>
      <c r="E146" s="2">
        <v>44895</v>
      </c>
      <c r="F146" t="s">
        <v>358</v>
      </c>
      <c r="I146" t="str">
        <f t="shared" si="4"/>
        <v>OK</v>
      </c>
      <c r="J146" t="str">
        <f t="shared" si="5"/>
        <v>Lipsă</v>
      </c>
      <c r="K146" t="str">
        <f>IF(ISNA(VLOOKUP(B146,Conturi!A:A,1,FALSE)),"Lipsă","OK")</f>
        <v>OK</v>
      </c>
      <c r="L146" t="str">
        <f>IF(ISBLANK(C146),"Retragere sau depunere",IF(ISNA(VLOOKUP(C146,Conturi!A:A,1,FALSE)),"Lipsă","OK"))</f>
        <v>Retragere sau depunere</v>
      </c>
    </row>
    <row r="147" spans="1:12">
      <c r="A147">
        <v>161</v>
      </c>
      <c r="B147">
        <v>1050</v>
      </c>
      <c r="C147">
        <v>1142</v>
      </c>
      <c r="D147">
        <v>1038.6099999999999</v>
      </c>
      <c r="E147" s="2">
        <v>44598</v>
      </c>
      <c r="F147" t="s">
        <v>357</v>
      </c>
      <c r="I147" t="str">
        <f t="shared" si="4"/>
        <v>OK</v>
      </c>
      <c r="J147" t="str">
        <f t="shared" si="5"/>
        <v>OK</v>
      </c>
      <c r="K147" t="str">
        <f>IF(ISNA(VLOOKUP(B147,Conturi!A:A,1,FALSE)),"Lipsă","OK")</f>
        <v>OK</v>
      </c>
      <c r="L147" t="str">
        <f>IF(ISBLANK(C147),"Retragere sau depunere",IF(ISNA(VLOOKUP(C147,Conturi!A:A,1,FALSE)),"Lipsă","OK"))</f>
        <v>OK</v>
      </c>
    </row>
    <row r="148" spans="1:12">
      <c r="A148">
        <v>162</v>
      </c>
      <c r="B148">
        <v>1050</v>
      </c>
      <c r="D148">
        <v>2489.79</v>
      </c>
      <c r="E148" s="2">
        <v>44796</v>
      </c>
      <c r="F148" t="s">
        <v>356</v>
      </c>
      <c r="I148" t="str">
        <f t="shared" si="4"/>
        <v>OK</v>
      </c>
      <c r="J148" t="str">
        <f t="shared" si="5"/>
        <v>Lipsă</v>
      </c>
      <c r="K148" t="str">
        <f>IF(ISNA(VLOOKUP(B148,Conturi!A:A,1,FALSE)),"Lipsă","OK")</f>
        <v>OK</v>
      </c>
      <c r="L148" t="str">
        <f>IF(ISBLANK(C148),"Retragere sau depunere",IF(ISNA(VLOOKUP(C148,Conturi!A:A,1,FALSE)),"Lipsă","OK"))</f>
        <v>Retragere sau depunere</v>
      </c>
    </row>
    <row r="149" spans="1:12">
      <c r="A149">
        <v>163</v>
      </c>
      <c r="B149">
        <v>1050</v>
      </c>
      <c r="C149">
        <v>1084</v>
      </c>
      <c r="D149">
        <v>1938.15</v>
      </c>
      <c r="E149" s="2">
        <v>44606</v>
      </c>
      <c r="F149" t="s">
        <v>357</v>
      </c>
      <c r="I149" t="str">
        <f t="shared" si="4"/>
        <v>OK</v>
      </c>
      <c r="J149" t="str">
        <f t="shared" si="5"/>
        <v>OK</v>
      </c>
      <c r="K149" t="str">
        <f>IF(ISNA(VLOOKUP(B149,Conturi!A:A,1,FALSE)),"Lipsă","OK")</f>
        <v>OK</v>
      </c>
      <c r="L149" t="str">
        <f>IF(ISBLANK(C149),"Retragere sau depunere",IF(ISNA(VLOOKUP(C149,Conturi!A:A,1,FALSE)),"Lipsă","OK"))</f>
        <v>OK</v>
      </c>
    </row>
    <row r="150" spans="1:12">
      <c r="A150">
        <v>164</v>
      </c>
      <c r="B150">
        <v>1051</v>
      </c>
      <c r="D150">
        <v>23.75</v>
      </c>
      <c r="E150" s="2">
        <v>44796</v>
      </c>
      <c r="F150" t="s">
        <v>356</v>
      </c>
      <c r="I150" t="str">
        <f t="shared" si="4"/>
        <v>OK</v>
      </c>
      <c r="J150" t="str">
        <f t="shared" si="5"/>
        <v>Lipsă</v>
      </c>
      <c r="K150" t="str">
        <f>IF(ISNA(VLOOKUP(B150,Conturi!A:A,1,FALSE)),"Lipsă","OK")</f>
        <v>OK</v>
      </c>
      <c r="L150" t="str">
        <f>IF(ISBLANK(C150),"Retragere sau depunere",IF(ISNA(VLOOKUP(C150,Conturi!A:A,1,FALSE)),"Lipsă","OK"))</f>
        <v>Retragere sau depunere</v>
      </c>
    </row>
    <row r="151" spans="1:12">
      <c r="A151">
        <v>165</v>
      </c>
      <c r="B151">
        <v>1051</v>
      </c>
      <c r="D151">
        <v>4490.6000000000004</v>
      </c>
      <c r="E151" s="2">
        <v>44827</v>
      </c>
      <c r="F151" t="s">
        <v>358</v>
      </c>
      <c r="I151" t="str">
        <f t="shared" si="4"/>
        <v>OK</v>
      </c>
      <c r="J151" t="str">
        <f t="shared" si="5"/>
        <v>Lipsă</v>
      </c>
      <c r="K151" t="str">
        <f>IF(ISNA(VLOOKUP(B151,Conturi!A:A,1,FALSE)),"Lipsă","OK")</f>
        <v>OK</v>
      </c>
      <c r="L151" t="str">
        <f>IF(ISBLANK(C151),"Retragere sau depunere",IF(ISNA(VLOOKUP(C151,Conturi!A:A,1,FALSE)),"Lipsă","OK"))</f>
        <v>Retragere sau depunere</v>
      </c>
    </row>
    <row r="152" spans="1:12">
      <c r="A152">
        <v>166</v>
      </c>
      <c r="B152">
        <v>1051</v>
      </c>
      <c r="C152">
        <v>1005</v>
      </c>
      <c r="D152">
        <v>3695.2</v>
      </c>
      <c r="E152" s="2">
        <v>44808</v>
      </c>
      <c r="F152" t="s">
        <v>357</v>
      </c>
      <c r="I152" t="str">
        <f t="shared" si="4"/>
        <v>OK</v>
      </c>
      <c r="J152" t="str">
        <f t="shared" si="5"/>
        <v>OK</v>
      </c>
      <c r="K152" t="str">
        <f>IF(ISNA(VLOOKUP(B152,Conturi!A:A,1,FALSE)),"Lipsă","OK")</f>
        <v>OK</v>
      </c>
      <c r="L152" t="str">
        <f>IF(ISBLANK(C152),"Retragere sau depunere",IF(ISNA(VLOOKUP(C152,Conturi!A:A,1,FALSE)),"Lipsă","OK"))</f>
        <v>OK</v>
      </c>
    </row>
    <row r="153" spans="1:12">
      <c r="A153">
        <v>167</v>
      </c>
      <c r="B153">
        <v>1052</v>
      </c>
      <c r="D153">
        <v>1912.12</v>
      </c>
      <c r="E153" s="2">
        <v>44739</v>
      </c>
      <c r="F153" t="s">
        <v>358</v>
      </c>
      <c r="I153" t="str">
        <f t="shared" si="4"/>
        <v>OK</v>
      </c>
      <c r="J153" t="str">
        <f t="shared" si="5"/>
        <v>Lipsă</v>
      </c>
      <c r="K153" t="str">
        <f>IF(ISNA(VLOOKUP(B153,Conturi!A:A,1,FALSE)),"Lipsă","OK")</f>
        <v>OK</v>
      </c>
      <c r="L153" t="str">
        <f>IF(ISBLANK(C153),"Retragere sau depunere",IF(ISNA(VLOOKUP(C153,Conturi!A:A,1,FALSE)),"Lipsă","OK"))</f>
        <v>Retragere sau depunere</v>
      </c>
    </row>
    <row r="154" spans="1:12">
      <c r="A154">
        <v>168</v>
      </c>
      <c r="B154">
        <v>1052</v>
      </c>
      <c r="C154">
        <v>1171</v>
      </c>
      <c r="D154">
        <v>304.82</v>
      </c>
      <c r="E154" s="2">
        <v>44620</v>
      </c>
      <c r="F154" t="s">
        <v>357</v>
      </c>
      <c r="I154" t="str">
        <f t="shared" si="4"/>
        <v>OK</v>
      </c>
      <c r="J154" t="str">
        <f t="shared" si="5"/>
        <v>OK</v>
      </c>
      <c r="K154" t="str">
        <f>IF(ISNA(VLOOKUP(B154,Conturi!A:A,1,FALSE)),"Lipsă","OK")</f>
        <v>OK</v>
      </c>
      <c r="L154" t="str">
        <f>IF(ISBLANK(C154),"Retragere sau depunere",IF(ISNA(VLOOKUP(C154,Conturi!A:A,1,FALSE)),"Lipsă","OK"))</f>
        <v>OK</v>
      </c>
    </row>
    <row r="155" spans="1:12">
      <c r="A155">
        <v>169</v>
      </c>
      <c r="B155">
        <v>1052</v>
      </c>
      <c r="C155">
        <v>1154</v>
      </c>
      <c r="D155">
        <v>2917.89</v>
      </c>
      <c r="E155" s="2">
        <v>44857</v>
      </c>
      <c r="F155" t="s">
        <v>357</v>
      </c>
      <c r="I155" t="str">
        <f t="shared" si="4"/>
        <v>OK</v>
      </c>
      <c r="J155" t="str">
        <f t="shared" si="5"/>
        <v>OK</v>
      </c>
      <c r="K155" t="str">
        <f>IF(ISNA(VLOOKUP(B155,Conturi!A:A,1,FALSE)),"Lipsă","OK")</f>
        <v>OK</v>
      </c>
      <c r="L155" t="str">
        <f>IF(ISBLANK(C155),"Retragere sau depunere",IF(ISNA(VLOOKUP(C155,Conturi!A:A,1,FALSE)),"Lipsă","OK"))</f>
        <v>OK</v>
      </c>
    </row>
    <row r="156" spans="1:12">
      <c r="A156">
        <v>170</v>
      </c>
      <c r="B156">
        <v>1052</v>
      </c>
      <c r="D156">
        <v>4270.29</v>
      </c>
      <c r="E156" s="2">
        <v>44645</v>
      </c>
      <c r="F156" t="s">
        <v>358</v>
      </c>
      <c r="I156" t="str">
        <f t="shared" si="4"/>
        <v>OK</v>
      </c>
      <c r="J156" t="str">
        <f t="shared" si="5"/>
        <v>Lipsă</v>
      </c>
      <c r="K156" t="str">
        <f>IF(ISNA(VLOOKUP(B156,Conturi!A:A,1,FALSE)),"Lipsă","OK")</f>
        <v>OK</v>
      </c>
      <c r="L156" t="str">
        <f>IF(ISBLANK(C156),"Retragere sau depunere",IF(ISNA(VLOOKUP(C156,Conturi!A:A,1,FALSE)),"Lipsă","OK"))</f>
        <v>Retragere sau depunere</v>
      </c>
    </row>
    <row r="157" spans="1:12">
      <c r="A157">
        <v>171</v>
      </c>
      <c r="B157">
        <v>1052</v>
      </c>
      <c r="C157">
        <v>1172</v>
      </c>
      <c r="D157">
        <v>825.52</v>
      </c>
      <c r="E157" s="2">
        <v>44837</v>
      </c>
      <c r="F157" t="s">
        <v>357</v>
      </c>
      <c r="I157" t="str">
        <f t="shared" si="4"/>
        <v>OK</v>
      </c>
      <c r="J157" t="str">
        <f t="shared" si="5"/>
        <v>OK</v>
      </c>
      <c r="K157" t="str">
        <f>IF(ISNA(VLOOKUP(B157,Conturi!A:A,1,FALSE)),"Lipsă","OK")</f>
        <v>OK</v>
      </c>
      <c r="L157" t="str">
        <f>IF(ISBLANK(C157),"Retragere sau depunere",IF(ISNA(VLOOKUP(C157,Conturi!A:A,1,FALSE)),"Lipsă","OK"))</f>
        <v>OK</v>
      </c>
    </row>
    <row r="158" spans="1:12">
      <c r="A158">
        <v>172</v>
      </c>
      <c r="B158">
        <v>1053</v>
      </c>
      <c r="D158">
        <v>4189.45</v>
      </c>
      <c r="E158" s="2">
        <v>44889</v>
      </c>
      <c r="F158" t="s">
        <v>356</v>
      </c>
      <c r="I158" t="str">
        <f t="shared" si="4"/>
        <v>OK</v>
      </c>
      <c r="J158" t="str">
        <f t="shared" si="5"/>
        <v>Lipsă</v>
      </c>
      <c r="K158" t="str">
        <f>IF(ISNA(VLOOKUP(B158,Conturi!A:A,1,FALSE)),"Lipsă","OK")</f>
        <v>OK</v>
      </c>
      <c r="L158" t="str">
        <f>IF(ISBLANK(C158),"Retragere sau depunere",IF(ISNA(VLOOKUP(C158,Conturi!A:A,1,FALSE)),"Lipsă","OK"))</f>
        <v>Retragere sau depunere</v>
      </c>
    </row>
    <row r="159" spans="1:12">
      <c r="A159">
        <v>173</v>
      </c>
      <c r="B159">
        <v>1053</v>
      </c>
      <c r="C159">
        <v>1013</v>
      </c>
      <c r="D159">
        <v>3440.84</v>
      </c>
      <c r="E159" s="2">
        <v>44696</v>
      </c>
      <c r="F159" t="s">
        <v>357</v>
      </c>
      <c r="I159" t="str">
        <f t="shared" si="4"/>
        <v>OK</v>
      </c>
      <c r="J159" t="str">
        <f t="shared" si="5"/>
        <v>OK</v>
      </c>
      <c r="K159" t="str">
        <f>IF(ISNA(VLOOKUP(B159,Conturi!A:A,1,FALSE)),"Lipsă","OK")</f>
        <v>OK</v>
      </c>
      <c r="L159" t="str">
        <f>IF(ISBLANK(C159),"Retragere sau depunere",IF(ISNA(VLOOKUP(C159,Conturi!A:A,1,FALSE)),"Lipsă","OK"))</f>
        <v>OK</v>
      </c>
    </row>
    <row r="160" spans="1:12">
      <c r="A160">
        <v>174</v>
      </c>
      <c r="B160">
        <v>1053</v>
      </c>
      <c r="C160">
        <v>1160</v>
      </c>
      <c r="D160">
        <v>226.48</v>
      </c>
      <c r="E160" s="2">
        <v>44747</v>
      </c>
      <c r="F160" t="s">
        <v>357</v>
      </c>
      <c r="I160" t="str">
        <f t="shared" si="4"/>
        <v>OK</v>
      </c>
      <c r="J160" t="str">
        <f t="shared" si="5"/>
        <v>OK</v>
      </c>
      <c r="K160" t="str">
        <f>IF(ISNA(VLOOKUP(B160,Conturi!A:A,1,FALSE)),"Lipsă","OK")</f>
        <v>OK</v>
      </c>
      <c r="L160" t="str">
        <f>IF(ISBLANK(C160),"Retragere sau depunere",IF(ISNA(VLOOKUP(C160,Conturi!A:A,1,FALSE)),"Lipsă","OK"))</f>
        <v>OK</v>
      </c>
    </row>
    <row r="161" spans="1:12">
      <c r="A161">
        <v>175</v>
      </c>
      <c r="B161">
        <v>1054</v>
      </c>
      <c r="D161">
        <v>3509.87</v>
      </c>
      <c r="E161" s="2">
        <v>44767</v>
      </c>
      <c r="F161" t="s">
        <v>358</v>
      </c>
      <c r="I161" t="str">
        <f t="shared" si="4"/>
        <v>OK</v>
      </c>
      <c r="J161" t="str">
        <f t="shared" si="5"/>
        <v>Lipsă</v>
      </c>
      <c r="K161" t="str">
        <f>IF(ISNA(VLOOKUP(B161,Conturi!A:A,1,FALSE)),"Lipsă","OK")</f>
        <v>OK</v>
      </c>
      <c r="L161" t="str">
        <f>IF(ISBLANK(C161),"Retragere sau depunere",IF(ISNA(VLOOKUP(C161,Conturi!A:A,1,FALSE)),"Lipsă","OK"))</f>
        <v>Retragere sau depunere</v>
      </c>
    </row>
    <row r="162" spans="1:12">
      <c r="A162">
        <v>176</v>
      </c>
      <c r="B162">
        <v>1054</v>
      </c>
      <c r="C162">
        <v>1178</v>
      </c>
      <c r="D162">
        <v>1458.73</v>
      </c>
      <c r="E162" s="2">
        <v>44911</v>
      </c>
      <c r="F162" t="s">
        <v>357</v>
      </c>
      <c r="I162" t="str">
        <f t="shared" si="4"/>
        <v>OK</v>
      </c>
      <c r="J162" t="str">
        <f t="shared" si="5"/>
        <v>OK</v>
      </c>
      <c r="K162" t="str">
        <f>IF(ISNA(VLOOKUP(B162,Conturi!A:A,1,FALSE)),"Lipsă","OK")</f>
        <v>OK</v>
      </c>
      <c r="L162" t="str">
        <f>IF(ISBLANK(C162),"Retragere sau depunere",IF(ISNA(VLOOKUP(C162,Conturi!A:A,1,FALSE)),"Lipsă","OK"))</f>
        <v>OK</v>
      </c>
    </row>
    <row r="163" spans="1:12">
      <c r="A163">
        <v>177</v>
      </c>
      <c r="B163">
        <v>1054</v>
      </c>
      <c r="D163">
        <v>2147.87</v>
      </c>
      <c r="E163" s="2">
        <v>44604</v>
      </c>
      <c r="F163" t="s">
        <v>358</v>
      </c>
      <c r="I163" t="str">
        <f t="shared" si="4"/>
        <v>OK</v>
      </c>
      <c r="J163" t="str">
        <f t="shared" si="5"/>
        <v>Lipsă</v>
      </c>
      <c r="K163" t="str">
        <f>IF(ISNA(VLOOKUP(B163,Conturi!A:A,1,FALSE)),"Lipsă","OK")</f>
        <v>OK</v>
      </c>
      <c r="L163" t="str">
        <f>IF(ISBLANK(C163),"Retragere sau depunere",IF(ISNA(VLOOKUP(C163,Conturi!A:A,1,FALSE)),"Lipsă","OK"))</f>
        <v>Retragere sau depunere</v>
      </c>
    </row>
    <row r="164" spans="1:12">
      <c r="A164">
        <v>178</v>
      </c>
      <c r="B164">
        <v>1054</v>
      </c>
      <c r="C164">
        <v>1105</v>
      </c>
      <c r="D164">
        <v>1153.03</v>
      </c>
      <c r="E164" s="2">
        <v>44791</v>
      </c>
      <c r="F164" t="s">
        <v>357</v>
      </c>
      <c r="I164" t="str">
        <f t="shared" si="4"/>
        <v>OK</v>
      </c>
      <c r="J164" t="str">
        <f t="shared" si="5"/>
        <v>OK</v>
      </c>
      <c r="K164" t="str">
        <f>IF(ISNA(VLOOKUP(B164,Conturi!A:A,1,FALSE)),"Lipsă","OK")</f>
        <v>OK</v>
      </c>
      <c r="L164" t="str">
        <f>IF(ISBLANK(C164),"Retragere sau depunere",IF(ISNA(VLOOKUP(C164,Conturi!A:A,1,FALSE)),"Lipsă","OK"))</f>
        <v>OK</v>
      </c>
    </row>
    <row r="165" spans="1:12">
      <c r="A165">
        <v>179</v>
      </c>
      <c r="B165">
        <v>1054</v>
      </c>
      <c r="D165">
        <v>3214.45</v>
      </c>
      <c r="E165" s="2">
        <v>44800</v>
      </c>
      <c r="F165" t="s">
        <v>356</v>
      </c>
      <c r="I165" t="str">
        <f t="shared" si="4"/>
        <v>OK</v>
      </c>
      <c r="J165" t="str">
        <f t="shared" si="5"/>
        <v>Lipsă</v>
      </c>
      <c r="K165" t="str">
        <f>IF(ISNA(VLOOKUP(B165,Conturi!A:A,1,FALSE)),"Lipsă","OK")</f>
        <v>OK</v>
      </c>
      <c r="L165" t="str">
        <f>IF(ISBLANK(C165),"Retragere sau depunere",IF(ISNA(VLOOKUP(C165,Conturi!A:A,1,FALSE)),"Lipsă","OK"))</f>
        <v>Retragere sau depunere</v>
      </c>
    </row>
    <row r="166" spans="1:12">
      <c r="A166">
        <v>180</v>
      </c>
      <c r="B166">
        <v>1055</v>
      </c>
      <c r="D166">
        <v>4771.49</v>
      </c>
      <c r="E166" s="2">
        <v>44578</v>
      </c>
      <c r="F166" t="s">
        <v>358</v>
      </c>
      <c r="I166" t="str">
        <f t="shared" si="4"/>
        <v>OK</v>
      </c>
      <c r="J166" t="str">
        <f t="shared" si="5"/>
        <v>Lipsă</v>
      </c>
      <c r="K166" t="str">
        <f>IF(ISNA(VLOOKUP(B166,Conturi!A:A,1,FALSE)),"Lipsă","OK")</f>
        <v>OK</v>
      </c>
      <c r="L166" t="str">
        <f>IF(ISBLANK(C166),"Retragere sau depunere",IF(ISNA(VLOOKUP(C166,Conturi!A:A,1,FALSE)),"Lipsă","OK"))</f>
        <v>Retragere sau depunere</v>
      </c>
    </row>
    <row r="167" spans="1:12">
      <c r="A167">
        <v>181</v>
      </c>
      <c r="B167">
        <v>1055</v>
      </c>
      <c r="C167">
        <v>1119</v>
      </c>
      <c r="D167">
        <v>813.95</v>
      </c>
      <c r="E167" s="2">
        <v>44637</v>
      </c>
      <c r="F167" t="s">
        <v>357</v>
      </c>
      <c r="I167" t="str">
        <f t="shared" si="4"/>
        <v>OK</v>
      </c>
      <c r="J167" t="str">
        <f t="shared" si="5"/>
        <v>OK</v>
      </c>
      <c r="K167" t="str">
        <f>IF(ISNA(VLOOKUP(B167,Conturi!A:A,1,FALSE)),"Lipsă","OK")</f>
        <v>OK</v>
      </c>
      <c r="L167" t="str">
        <f>IF(ISBLANK(C167),"Retragere sau depunere",IF(ISNA(VLOOKUP(C167,Conturi!A:A,1,FALSE)),"Lipsă","OK"))</f>
        <v>OK</v>
      </c>
    </row>
    <row r="168" spans="1:12">
      <c r="A168">
        <v>182</v>
      </c>
      <c r="B168">
        <v>1055</v>
      </c>
      <c r="D168">
        <v>824.53</v>
      </c>
      <c r="E168" s="2">
        <v>44707</v>
      </c>
      <c r="F168" t="s">
        <v>356</v>
      </c>
      <c r="I168" t="str">
        <f t="shared" si="4"/>
        <v>OK</v>
      </c>
      <c r="J168" t="str">
        <f t="shared" si="5"/>
        <v>Lipsă</v>
      </c>
      <c r="K168" t="str">
        <f>IF(ISNA(VLOOKUP(B168,Conturi!A:A,1,FALSE)),"Lipsă","OK")</f>
        <v>OK</v>
      </c>
      <c r="L168" t="str">
        <f>IF(ISBLANK(C168),"Retragere sau depunere",IF(ISNA(VLOOKUP(C168,Conturi!A:A,1,FALSE)),"Lipsă","OK"))</f>
        <v>Retragere sau depunere</v>
      </c>
    </row>
    <row r="169" spans="1:12">
      <c r="A169">
        <v>183</v>
      </c>
      <c r="B169">
        <v>1056</v>
      </c>
      <c r="C169">
        <v>1056</v>
      </c>
      <c r="D169">
        <v>1828.78</v>
      </c>
      <c r="E169" s="2">
        <v>44683</v>
      </c>
      <c r="F169" t="s">
        <v>357</v>
      </c>
      <c r="I169" t="str">
        <f t="shared" si="4"/>
        <v>OK</v>
      </c>
      <c r="J169" t="str">
        <f t="shared" si="5"/>
        <v>OK</v>
      </c>
      <c r="K169" t="str">
        <f>IF(ISNA(VLOOKUP(B169,Conturi!A:A,1,FALSE)),"Lipsă","OK")</f>
        <v>OK</v>
      </c>
      <c r="L169" t="str">
        <f>IF(ISBLANK(C169),"Retragere sau depunere",IF(ISNA(VLOOKUP(C169,Conturi!A:A,1,FALSE)),"Lipsă","OK"))</f>
        <v>OK</v>
      </c>
    </row>
    <row r="170" spans="1:12">
      <c r="A170">
        <v>184</v>
      </c>
      <c r="B170">
        <v>1056</v>
      </c>
      <c r="C170">
        <v>1063</v>
      </c>
      <c r="D170">
        <v>332.54</v>
      </c>
      <c r="E170" s="2">
        <v>44816</v>
      </c>
      <c r="F170" t="s">
        <v>357</v>
      </c>
      <c r="I170" t="str">
        <f t="shared" si="4"/>
        <v>OK</v>
      </c>
      <c r="J170" t="str">
        <f t="shared" si="5"/>
        <v>OK</v>
      </c>
      <c r="K170" t="str">
        <f>IF(ISNA(VLOOKUP(B170,Conturi!A:A,1,FALSE)),"Lipsă","OK")</f>
        <v>OK</v>
      </c>
      <c r="L170" t="str">
        <f>IF(ISBLANK(C170),"Retragere sau depunere",IF(ISNA(VLOOKUP(C170,Conturi!A:A,1,FALSE)),"Lipsă","OK"))</f>
        <v>OK</v>
      </c>
    </row>
    <row r="171" spans="1:12">
      <c r="A171">
        <v>185</v>
      </c>
      <c r="B171">
        <v>1057</v>
      </c>
      <c r="D171">
        <v>4987.9399999999996</v>
      </c>
      <c r="E171" s="2">
        <v>44833</v>
      </c>
      <c r="F171" t="s">
        <v>358</v>
      </c>
      <c r="I171" t="str">
        <f t="shared" si="4"/>
        <v>OK</v>
      </c>
      <c r="J171" t="str">
        <f t="shared" si="5"/>
        <v>Lipsă</v>
      </c>
      <c r="K171" t="str">
        <f>IF(ISNA(VLOOKUP(B171,Conturi!A:A,1,FALSE)),"Lipsă","OK")</f>
        <v>OK</v>
      </c>
      <c r="L171" t="str">
        <f>IF(ISBLANK(C171),"Retragere sau depunere",IF(ISNA(VLOOKUP(C171,Conturi!A:A,1,FALSE)),"Lipsă","OK"))</f>
        <v>Retragere sau depunere</v>
      </c>
    </row>
    <row r="172" spans="1:12">
      <c r="A172">
        <v>186</v>
      </c>
      <c r="B172">
        <v>1057</v>
      </c>
      <c r="D172">
        <v>2401.29</v>
      </c>
      <c r="E172" s="2">
        <v>44576</v>
      </c>
      <c r="F172" t="s">
        <v>358</v>
      </c>
      <c r="I172" t="str">
        <f t="shared" si="4"/>
        <v>OK</v>
      </c>
      <c r="J172" t="str">
        <f t="shared" si="5"/>
        <v>Lipsă</v>
      </c>
      <c r="K172" t="str">
        <f>IF(ISNA(VLOOKUP(B172,Conturi!A:A,1,FALSE)),"Lipsă","OK")</f>
        <v>OK</v>
      </c>
      <c r="L172" t="str">
        <f>IF(ISBLANK(C172),"Retragere sau depunere",IF(ISNA(VLOOKUP(C172,Conturi!A:A,1,FALSE)),"Lipsă","OK"))</f>
        <v>Retragere sau depunere</v>
      </c>
    </row>
    <row r="173" spans="1:12">
      <c r="A173">
        <v>187</v>
      </c>
      <c r="B173">
        <v>1057</v>
      </c>
      <c r="C173">
        <v>1154</v>
      </c>
      <c r="D173">
        <v>793.02</v>
      </c>
      <c r="E173" s="2">
        <v>44912</v>
      </c>
      <c r="F173" t="s">
        <v>357</v>
      </c>
      <c r="I173" t="str">
        <f t="shared" si="4"/>
        <v>OK</v>
      </c>
      <c r="J173" t="str">
        <f t="shared" si="5"/>
        <v>OK</v>
      </c>
      <c r="K173" t="str">
        <f>IF(ISNA(VLOOKUP(B173,Conturi!A:A,1,FALSE)),"Lipsă","OK")</f>
        <v>OK</v>
      </c>
      <c r="L173" t="str">
        <f>IF(ISBLANK(C173),"Retragere sau depunere",IF(ISNA(VLOOKUP(C173,Conturi!A:A,1,FALSE)),"Lipsă","OK"))</f>
        <v>OK</v>
      </c>
    </row>
    <row r="174" spans="1:12">
      <c r="A174">
        <v>188</v>
      </c>
      <c r="B174">
        <v>1057</v>
      </c>
      <c r="D174">
        <v>2593.06</v>
      </c>
      <c r="E174" s="2">
        <v>44634</v>
      </c>
      <c r="F174" t="s">
        <v>356</v>
      </c>
      <c r="I174" t="str">
        <f t="shared" si="4"/>
        <v>OK</v>
      </c>
      <c r="J174" t="str">
        <f t="shared" si="5"/>
        <v>Lipsă</v>
      </c>
      <c r="K174" t="str">
        <f>IF(ISNA(VLOOKUP(B174,Conturi!A:A,1,FALSE)),"Lipsă","OK")</f>
        <v>OK</v>
      </c>
      <c r="L174" t="str">
        <f>IF(ISBLANK(C174),"Retragere sau depunere",IF(ISNA(VLOOKUP(C174,Conturi!A:A,1,FALSE)),"Lipsă","OK"))</f>
        <v>Retragere sau depunere</v>
      </c>
    </row>
    <row r="175" spans="1:12">
      <c r="A175">
        <v>189</v>
      </c>
      <c r="B175">
        <v>1058</v>
      </c>
      <c r="D175">
        <v>4206.68</v>
      </c>
      <c r="E175" s="2">
        <v>44791</v>
      </c>
      <c r="F175" t="s">
        <v>356</v>
      </c>
      <c r="I175" t="str">
        <f t="shared" si="4"/>
        <v>OK</v>
      </c>
      <c r="J175" t="str">
        <f t="shared" si="5"/>
        <v>Lipsă</v>
      </c>
      <c r="K175" t="str">
        <f>IF(ISNA(VLOOKUP(B175,Conturi!A:A,1,FALSE)),"Lipsă","OK")</f>
        <v>OK</v>
      </c>
      <c r="L175" t="str">
        <f>IF(ISBLANK(C175),"Retragere sau depunere",IF(ISNA(VLOOKUP(C175,Conturi!A:A,1,FALSE)),"Lipsă","OK"))</f>
        <v>Retragere sau depunere</v>
      </c>
    </row>
    <row r="176" spans="1:12">
      <c r="A176">
        <v>190</v>
      </c>
      <c r="B176">
        <v>1058</v>
      </c>
      <c r="C176">
        <v>1157</v>
      </c>
      <c r="D176">
        <v>1674.79</v>
      </c>
      <c r="E176" s="2">
        <v>44731</v>
      </c>
      <c r="F176" t="s">
        <v>357</v>
      </c>
      <c r="I176" t="str">
        <f t="shared" si="4"/>
        <v>OK</v>
      </c>
      <c r="J176" t="str">
        <f t="shared" si="5"/>
        <v>OK</v>
      </c>
      <c r="K176" t="str">
        <f>IF(ISNA(VLOOKUP(B176,Conturi!A:A,1,FALSE)),"Lipsă","OK")</f>
        <v>OK</v>
      </c>
      <c r="L176" t="str">
        <f>IF(ISBLANK(C176),"Retragere sau depunere",IF(ISNA(VLOOKUP(C176,Conturi!A:A,1,FALSE)),"Lipsă","OK"))</f>
        <v>OK</v>
      </c>
    </row>
    <row r="177" spans="1:12">
      <c r="A177">
        <v>191</v>
      </c>
      <c r="B177">
        <v>1059</v>
      </c>
      <c r="C177">
        <v>1018</v>
      </c>
      <c r="D177">
        <v>2047.06</v>
      </c>
      <c r="E177" s="2">
        <v>44749</v>
      </c>
      <c r="F177" t="s">
        <v>357</v>
      </c>
      <c r="I177" t="str">
        <f t="shared" si="4"/>
        <v>OK</v>
      </c>
      <c r="J177" t="str">
        <f t="shared" si="5"/>
        <v>OK</v>
      </c>
      <c r="K177" t="str">
        <f>IF(ISNA(VLOOKUP(B177,Conturi!A:A,1,FALSE)),"Lipsă","OK")</f>
        <v>OK</v>
      </c>
      <c r="L177" t="str">
        <f>IF(ISBLANK(C177),"Retragere sau depunere",IF(ISNA(VLOOKUP(C177,Conturi!A:A,1,FALSE)),"Lipsă","OK"))</f>
        <v>OK</v>
      </c>
    </row>
    <row r="178" spans="1:12">
      <c r="A178">
        <v>192</v>
      </c>
      <c r="B178">
        <v>1059</v>
      </c>
      <c r="C178">
        <v>1007</v>
      </c>
      <c r="D178">
        <v>3853.02</v>
      </c>
      <c r="E178" s="2">
        <v>44665</v>
      </c>
      <c r="F178" t="s">
        <v>357</v>
      </c>
      <c r="I178" t="str">
        <f t="shared" si="4"/>
        <v>OK</v>
      </c>
      <c r="J178" t="str">
        <f t="shared" si="5"/>
        <v>OK</v>
      </c>
      <c r="K178" t="str">
        <f>IF(ISNA(VLOOKUP(B178,Conturi!A:A,1,FALSE)),"Lipsă","OK")</f>
        <v>OK</v>
      </c>
      <c r="L178" t="str">
        <f>IF(ISBLANK(C178),"Retragere sau depunere",IF(ISNA(VLOOKUP(C178,Conturi!A:A,1,FALSE)),"Lipsă","OK"))</f>
        <v>OK</v>
      </c>
    </row>
    <row r="179" spans="1:12">
      <c r="A179">
        <v>193</v>
      </c>
      <c r="B179">
        <v>1059</v>
      </c>
      <c r="C179">
        <v>1173</v>
      </c>
      <c r="D179">
        <v>3383.99</v>
      </c>
      <c r="E179" s="2">
        <v>44648</v>
      </c>
      <c r="F179" t="s">
        <v>357</v>
      </c>
      <c r="I179" t="str">
        <f t="shared" si="4"/>
        <v>OK</v>
      </c>
      <c r="J179" t="str">
        <f t="shared" si="5"/>
        <v>OK</v>
      </c>
      <c r="K179" t="str">
        <f>IF(ISNA(VLOOKUP(B179,Conturi!A:A,1,FALSE)),"Lipsă","OK")</f>
        <v>OK</v>
      </c>
      <c r="L179" t="str">
        <f>IF(ISBLANK(C179),"Retragere sau depunere",IF(ISNA(VLOOKUP(C179,Conturi!A:A,1,FALSE)),"Lipsă","OK"))</f>
        <v>OK</v>
      </c>
    </row>
    <row r="180" spans="1:12">
      <c r="A180">
        <v>194</v>
      </c>
      <c r="B180">
        <v>1060</v>
      </c>
      <c r="C180">
        <v>1053</v>
      </c>
      <c r="D180">
        <v>3690.25</v>
      </c>
      <c r="E180" s="2">
        <v>44918</v>
      </c>
      <c r="F180" t="s">
        <v>357</v>
      </c>
      <c r="I180" t="str">
        <f t="shared" si="4"/>
        <v>OK</v>
      </c>
      <c r="J180" t="str">
        <f t="shared" si="5"/>
        <v>OK</v>
      </c>
      <c r="K180" t="str">
        <f>IF(ISNA(VLOOKUP(B180,Conturi!A:A,1,FALSE)),"Lipsă","OK")</f>
        <v>OK</v>
      </c>
      <c r="L180" t="str">
        <f>IF(ISBLANK(C180),"Retragere sau depunere",IF(ISNA(VLOOKUP(C180,Conturi!A:A,1,FALSE)),"Lipsă","OK"))</f>
        <v>OK</v>
      </c>
    </row>
    <row r="181" spans="1:12">
      <c r="A181">
        <v>195</v>
      </c>
      <c r="B181">
        <v>1060</v>
      </c>
      <c r="C181">
        <v>1108</v>
      </c>
      <c r="D181">
        <v>2243.5100000000002</v>
      </c>
      <c r="E181" s="2">
        <v>44806</v>
      </c>
      <c r="F181" t="s">
        <v>357</v>
      </c>
      <c r="I181" t="str">
        <f t="shared" si="4"/>
        <v>OK</v>
      </c>
      <c r="J181" t="str">
        <f t="shared" si="5"/>
        <v>OK</v>
      </c>
      <c r="K181" t="str">
        <f>IF(ISNA(VLOOKUP(B181,Conturi!A:A,1,FALSE)),"Lipsă","OK")</f>
        <v>OK</v>
      </c>
      <c r="L181" t="str">
        <f>IF(ISBLANK(C181),"Retragere sau depunere",IF(ISNA(VLOOKUP(C181,Conturi!A:A,1,FALSE)),"Lipsă","OK"))</f>
        <v>OK</v>
      </c>
    </row>
    <row r="182" spans="1:12">
      <c r="A182">
        <v>196</v>
      </c>
      <c r="B182">
        <v>1061</v>
      </c>
      <c r="C182">
        <v>1080</v>
      </c>
      <c r="D182">
        <v>1006.22</v>
      </c>
      <c r="E182" s="2">
        <v>44671</v>
      </c>
      <c r="F182" t="s">
        <v>357</v>
      </c>
      <c r="I182" t="str">
        <f t="shared" si="4"/>
        <v>OK</v>
      </c>
      <c r="J182" t="str">
        <f t="shared" si="5"/>
        <v>OK</v>
      </c>
      <c r="K182" t="str">
        <f>IF(ISNA(VLOOKUP(B182,Conturi!A:A,1,FALSE)),"Lipsă","OK")</f>
        <v>OK</v>
      </c>
      <c r="L182" t="str">
        <f>IF(ISBLANK(C182),"Retragere sau depunere",IF(ISNA(VLOOKUP(C182,Conturi!A:A,1,FALSE)),"Lipsă","OK"))</f>
        <v>OK</v>
      </c>
    </row>
    <row r="183" spans="1:12">
      <c r="A183">
        <v>197</v>
      </c>
      <c r="B183">
        <v>1062</v>
      </c>
      <c r="C183">
        <v>1047</v>
      </c>
      <c r="D183">
        <v>3525.84</v>
      </c>
      <c r="E183" s="2">
        <v>44920</v>
      </c>
      <c r="F183" t="s">
        <v>357</v>
      </c>
      <c r="I183" t="str">
        <f t="shared" si="4"/>
        <v>OK</v>
      </c>
      <c r="J183" t="str">
        <f t="shared" si="5"/>
        <v>OK</v>
      </c>
      <c r="K183" t="str">
        <f>IF(ISNA(VLOOKUP(B183,Conturi!A:A,1,FALSE)),"Lipsă","OK")</f>
        <v>OK</v>
      </c>
      <c r="L183" t="str">
        <f>IF(ISBLANK(C183),"Retragere sau depunere",IF(ISNA(VLOOKUP(C183,Conturi!A:A,1,FALSE)),"Lipsă","OK"))</f>
        <v>OK</v>
      </c>
    </row>
    <row r="184" spans="1:12">
      <c r="A184">
        <v>198</v>
      </c>
      <c r="B184">
        <v>1062</v>
      </c>
      <c r="C184">
        <v>1036</v>
      </c>
      <c r="D184">
        <v>449.77</v>
      </c>
      <c r="E184" s="2">
        <v>44834</v>
      </c>
      <c r="F184" t="s">
        <v>357</v>
      </c>
      <c r="I184" t="str">
        <f t="shared" si="4"/>
        <v>OK</v>
      </c>
      <c r="J184" t="str">
        <f t="shared" si="5"/>
        <v>OK</v>
      </c>
      <c r="K184" t="str">
        <f>IF(ISNA(VLOOKUP(B184,Conturi!A:A,1,FALSE)),"Lipsă","OK")</f>
        <v>OK</v>
      </c>
      <c r="L184" t="str">
        <f>IF(ISBLANK(C184),"Retragere sau depunere",IF(ISNA(VLOOKUP(C184,Conturi!A:A,1,FALSE)),"Lipsă","OK"))</f>
        <v>OK</v>
      </c>
    </row>
    <row r="185" spans="1:12">
      <c r="A185">
        <v>199</v>
      </c>
      <c r="B185">
        <v>1062</v>
      </c>
      <c r="D185">
        <v>4987.71</v>
      </c>
      <c r="E185" s="2">
        <v>44637</v>
      </c>
      <c r="F185" t="s">
        <v>358</v>
      </c>
      <c r="I185" t="str">
        <f t="shared" si="4"/>
        <v>OK</v>
      </c>
      <c r="J185" t="str">
        <f t="shared" si="5"/>
        <v>Lipsă</v>
      </c>
      <c r="K185" t="str">
        <f>IF(ISNA(VLOOKUP(B185,Conturi!A:A,1,FALSE)),"Lipsă","OK")</f>
        <v>OK</v>
      </c>
      <c r="L185" t="str">
        <f>IF(ISBLANK(C185),"Retragere sau depunere",IF(ISNA(VLOOKUP(C185,Conturi!A:A,1,FALSE)),"Lipsă","OK"))</f>
        <v>Retragere sau depunere</v>
      </c>
    </row>
    <row r="186" spans="1:12">
      <c r="A186">
        <v>200</v>
      </c>
      <c r="B186">
        <v>1062</v>
      </c>
      <c r="D186">
        <v>1476.22</v>
      </c>
      <c r="E186" s="2">
        <v>44574</v>
      </c>
      <c r="F186" t="s">
        <v>356</v>
      </c>
      <c r="I186" t="str">
        <f t="shared" si="4"/>
        <v>OK</v>
      </c>
      <c r="J186" t="str">
        <f t="shared" si="5"/>
        <v>Lipsă</v>
      </c>
      <c r="K186" t="str">
        <f>IF(ISNA(VLOOKUP(B186,Conturi!A:A,1,FALSE)),"Lipsă","OK")</f>
        <v>OK</v>
      </c>
      <c r="L186" t="str">
        <f>IF(ISBLANK(C186),"Retragere sau depunere",IF(ISNA(VLOOKUP(C186,Conturi!A:A,1,FALSE)),"Lipsă","OK"))</f>
        <v>Retragere sau depunere</v>
      </c>
    </row>
    <row r="187" spans="1:12">
      <c r="A187">
        <v>201</v>
      </c>
      <c r="B187">
        <v>1063</v>
      </c>
      <c r="D187">
        <v>4264.3100000000004</v>
      </c>
      <c r="E187" s="2">
        <v>44922</v>
      </c>
      <c r="F187" t="s">
        <v>358</v>
      </c>
      <c r="I187" t="str">
        <f t="shared" si="4"/>
        <v>OK</v>
      </c>
      <c r="J187" t="str">
        <f t="shared" si="5"/>
        <v>Lipsă</v>
      </c>
      <c r="K187" t="str">
        <f>IF(ISNA(VLOOKUP(B187,Conturi!A:A,1,FALSE)),"Lipsă","OK")</f>
        <v>OK</v>
      </c>
      <c r="L187" t="str">
        <f>IF(ISBLANK(C187),"Retragere sau depunere",IF(ISNA(VLOOKUP(C187,Conturi!A:A,1,FALSE)),"Lipsă","OK"))</f>
        <v>Retragere sau depunere</v>
      </c>
    </row>
    <row r="188" spans="1:12">
      <c r="A188">
        <v>202</v>
      </c>
      <c r="B188">
        <v>1063</v>
      </c>
      <c r="C188">
        <v>1162</v>
      </c>
      <c r="D188">
        <v>2577.37</v>
      </c>
      <c r="E188" s="2">
        <v>44660</v>
      </c>
      <c r="F188" t="s">
        <v>357</v>
      </c>
      <c r="I188" t="str">
        <f t="shared" si="4"/>
        <v>OK</v>
      </c>
      <c r="J188" t="str">
        <f t="shared" si="5"/>
        <v>OK</v>
      </c>
      <c r="K188" t="str">
        <f>IF(ISNA(VLOOKUP(B188,Conturi!A:A,1,FALSE)),"Lipsă","OK")</f>
        <v>OK</v>
      </c>
      <c r="L188" t="str">
        <f>IF(ISBLANK(C188),"Retragere sau depunere",IF(ISNA(VLOOKUP(C188,Conturi!A:A,1,FALSE)),"Lipsă","OK"))</f>
        <v>OK</v>
      </c>
    </row>
    <row r="189" spans="1:12">
      <c r="A189">
        <v>203</v>
      </c>
      <c r="B189">
        <v>1063</v>
      </c>
      <c r="D189">
        <v>647.12</v>
      </c>
      <c r="E189" s="2">
        <v>44813</v>
      </c>
      <c r="F189" t="s">
        <v>356</v>
      </c>
      <c r="I189" t="str">
        <f t="shared" si="4"/>
        <v>OK</v>
      </c>
      <c r="J189" t="str">
        <f t="shared" si="5"/>
        <v>Lipsă</v>
      </c>
      <c r="K189" t="str">
        <f>IF(ISNA(VLOOKUP(B189,Conturi!A:A,1,FALSE)),"Lipsă","OK")</f>
        <v>OK</v>
      </c>
      <c r="L189" t="str">
        <f>IF(ISBLANK(C189),"Retragere sau depunere",IF(ISNA(VLOOKUP(C189,Conturi!A:A,1,FALSE)),"Lipsă","OK"))</f>
        <v>Retragere sau depunere</v>
      </c>
    </row>
    <row r="190" spans="1:12">
      <c r="A190">
        <v>204</v>
      </c>
      <c r="B190">
        <v>1063</v>
      </c>
      <c r="C190">
        <v>1142</v>
      </c>
      <c r="D190">
        <v>3205.37</v>
      </c>
      <c r="E190" s="2">
        <v>44806</v>
      </c>
      <c r="F190" t="s">
        <v>357</v>
      </c>
      <c r="I190" t="str">
        <f t="shared" si="4"/>
        <v>OK</v>
      </c>
      <c r="J190" t="str">
        <f t="shared" si="5"/>
        <v>OK</v>
      </c>
      <c r="K190" t="str">
        <f>IF(ISNA(VLOOKUP(B190,Conturi!A:A,1,FALSE)),"Lipsă","OK")</f>
        <v>OK</v>
      </c>
      <c r="L190" t="str">
        <f>IF(ISBLANK(C190),"Retragere sau depunere",IF(ISNA(VLOOKUP(C190,Conturi!A:A,1,FALSE)),"Lipsă","OK"))</f>
        <v>OK</v>
      </c>
    </row>
    <row r="191" spans="1:12">
      <c r="A191">
        <v>205</v>
      </c>
      <c r="B191">
        <v>1063</v>
      </c>
      <c r="D191">
        <v>2003.62</v>
      </c>
      <c r="E191" s="2">
        <v>44828</v>
      </c>
      <c r="F191" t="s">
        <v>356</v>
      </c>
      <c r="I191" t="str">
        <f t="shared" si="4"/>
        <v>OK</v>
      </c>
      <c r="J191" t="str">
        <f t="shared" si="5"/>
        <v>Lipsă</v>
      </c>
      <c r="K191" t="str">
        <f>IF(ISNA(VLOOKUP(B191,Conturi!A:A,1,FALSE)),"Lipsă","OK")</f>
        <v>OK</v>
      </c>
      <c r="L191" t="str">
        <f>IF(ISBLANK(C191),"Retragere sau depunere",IF(ISNA(VLOOKUP(C191,Conturi!A:A,1,FALSE)),"Lipsă","OK"))</f>
        <v>Retragere sau depunere</v>
      </c>
    </row>
    <row r="192" spans="1:12">
      <c r="A192">
        <v>206</v>
      </c>
      <c r="B192">
        <v>1064</v>
      </c>
      <c r="D192">
        <v>2290.61</v>
      </c>
      <c r="E192" s="2">
        <v>44779</v>
      </c>
      <c r="F192" t="s">
        <v>358</v>
      </c>
      <c r="I192" t="str">
        <f t="shared" si="4"/>
        <v>OK</v>
      </c>
      <c r="J192" t="str">
        <f t="shared" si="5"/>
        <v>Lipsă</v>
      </c>
      <c r="K192" t="str">
        <f>IF(ISNA(VLOOKUP(B192,Conturi!A:A,1,FALSE)),"Lipsă","OK")</f>
        <v>OK</v>
      </c>
      <c r="L192" t="str">
        <f>IF(ISBLANK(C192),"Retragere sau depunere",IF(ISNA(VLOOKUP(C192,Conturi!A:A,1,FALSE)),"Lipsă","OK"))</f>
        <v>Retragere sau depunere</v>
      </c>
    </row>
    <row r="193" spans="1:12">
      <c r="A193">
        <v>207</v>
      </c>
      <c r="B193">
        <v>1064</v>
      </c>
      <c r="D193">
        <v>1200.29</v>
      </c>
      <c r="E193" s="2">
        <v>44628</v>
      </c>
      <c r="F193" t="s">
        <v>358</v>
      </c>
      <c r="I193" t="str">
        <f t="shared" si="4"/>
        <v>OK</v>
      </c>
      <c r="J193" t="str">
        <f t="shared" si="5"/>
        <v>Lipsă</v>
      </c>
      <c r="K193" t="str">
        <f>IF(ISNA(VLOOKUP(B193,Conturi!A:A,1,FALSE)),"Lipsă","OK")</f>
        <v>OK</v>
      </c>
      <c r="L193" t="str">
        <f>IF(ISBLANK(C193),"Retragere sau depunere",IF(ISNA(VLOOKUP(C193,Conturi!A:A,1,FALSE)),"Lipsă","OK"))</f>
        <v>Retragere sau depunere</v>
      </c>
    </row>
    <row r="194" spans="1:12">
      <c r="A194">
        <v>208</v>
      </c>
      <c r="B194">
        <v>1064</v>
      </c>
      <c r="D194">
        <v>3954.14</v>
      </c>
      <c r="E194" s="2">
        <v>44794</v>
      </c>
      <c r="F194" t="s">
        <v>358</v>
      </c>
      <c r="I194" t="str">
        <f t="shared" si="4"/>
        <v>OK</v>
      </c>
      <c r="J194" t="str">
        <f t="shared" si="5"/>
        <v>Lipsă</v>
      </c>
      <c r="K194" t="str">
        <f>IF(ISNA(VLOOKUP(B194,Conturi!A:A,1,FALSE)),"Lipsă","OK")</f>
        <v>OK</v>
      </c>
      <c r="L194" t="str">
        <f>IF(ISBLANK(C194),"Retragere sau depunere",IF(ISNA(VLOOKUP(C194,Conturi!A:A,1,FALSE)),"Lipsă","OK"))</f>
        <v>Retragere sau depunere</v>
      </c>
    </row>
    <row r="195" spans="1:12">
      <c r="A195">
        <v>209</v>
      </c>
      <c r="B195">
        <v>1065</v>
      </c>
      <c r="D195">
        <v>3352.07</v>
      </c>
      <c r="E195" s="2">
        <v>44767</v>
      </c>
      <c r="F195" t="s">
        <v>358</v>
      </c>
      <c r="I195" t="str">
        <f t="shared" ref="I195:I258" si="6">IF(D195&lt;0,"Greșit","OK")</f>
        <v>OK</v>
      </c>
      <c r="J195" t="str">
        <f t="shared" ref="J195:J258" si="7">IF(ISBLANK(C195),"Lipsă","OK")</f>
        <v>Lipsă</v>
      </c>
      <c r="K195" t="str">
        <f>IF(ISNA(VLOOKUP(B195,Conturi!A:A,1,FALSE)),"Lipsă","OK")</f>
        <v>OK</v>
      </c>
      <c r="L195" t="str">
        <f>IF(ISBLANK(C195),"Retragere sau depunere",IF(ISNA(VLOOKUP(C195,Conturi!A:A,1,FALSE)),"Lipsă","OK"))</f>
        <v>Retragere sau depunere</v>
      </c>
    </row>
    <row r="196" spans="1:12">
      <c r="A196">
        <v>210</v>
      </c>
      <c r="B196">
        <v>1065</v>
      </c>
      <c r="C196">
        <v>1079</v>
      </c>
      <c r="D196">
        <v>439.41</v>
      </c>
      <c r="E196" s="2">
        <v>44854</v>
      </c>
      <c r="F196" t="s">
        <v>357</v>
      </c>
      <c r="I196" t="str">
        <f t="shared" si="6"/>
        <v>OK</v>
      </c>
      <c r="J196" t="str">
        <f t="shared" si="7"/>
        <v>OK</v>
      </c>
      <c r="K196" t="str">
        <f>IF(ISNA(VLOOKUP(B196,Conturi!A:A,1,FALSE)),"Lipsă","OK")</f>
        <v>OK</v>
      </c>
      <c r="L196" t="str">
        <f>IF(ISBLANK(C196),"Retragere sau depunere",IF(ISNA(VLOOKUP(C196,Conturi!A:A,1,FALSE)),"Lipsă","OK"))</f>
        <v>OK</v>
      </c>
    </row>
    <row r="197" spans="1:12">
      <c r="A197">
        <v>211</v>
      </c>
      <c r="B197">
        <v>1066</v>
      </c>
      <c r="D197">
        <v>3622.29</v>
      </c>
      <c r="E197" s="2">
        <v>44565</v>
      </c>
      <c r="F197" t="s">
        <v>356</v>
      </c>
      <c r="I197" t="str">
        <f t="shared" si="6"/>
        <v>OK</v>
      </c>
      <c r="J197" t="str">
        <f t="shared" si="7"/>
        <v>Lipsă</v>
      </c>
      <c r="K197" t="str">
        <f>IF(ISNA(VLOOKUP(B197,Conturi!A:A,1,FALSE)),"Lipsă","OK")</f>
        <v>OK</v>
      </c>
      <c r="L197" t="str">
        <f>IF(ISBLANK(C197),"Retragere sau depunere",IF(ISNA(VLOOKUP(C197,Conturi!A:A,1,FALSE)),"Lipsă","OK"))</f>
        <v>Retragere sau depunere</v>
      </c>
    </row>
    <row r="198" spans="1:12">
      <c r="A198">
        <v>212</v>
      </c>
      <c r="B198">
        <v>1066</v>
      </c>
      <c r="C198">
        <v>1099</v>
      </c>
      <c r="D198">
        <v>42.48</v>
      </c>
      <c r="E198" s="2">
        <v>44606</v>
      </c>
      <c r="F198" t="s">
        <v>357</v>
      </c>
      <c r="I198" t="str">
        <f t="shared" si="6"/>
        <v>OK</v>
      </c>
      <c r="J198" t="str">
        <f t="shared" si="7"/>
        <v>OK</v>
      </c>
      <c r="K198" t="str">
        <f>IF(ISNA(VLOOKUP(B198,Conturi!A:A,1,FALSE)),"Lipsă","OK")</f>
        <v>OK</v>
      </c>
      <c r="L198" t="str">
        <f>IF(ISBLANK(C198),"Retragere sau depunere",IF(ISNA(VLOOKUP(C198,Conturi!A:A,1,FALSE)),"Lipsă","OK"))</f>
        <v>OK</v>
      </c>
    </row>
    <row r="199" spans="1:12">
      <c r="A199">
        <v>213</v>
      </c>
      <c r="B199">
        <v>1066</v>
      </c>
      <c r="D199">
        <v>1638.84</v>
      </c>
      <c r="E199" s="2">
        <v>44625</v>
      </c>
      <c r="F199" t="s">
        <v>358</v>
      </c>
      <c r="I199" t="str">
        <f t="shared" si="6"/>
        <v>OK</v>
      </c>
      <c r="J199" t="str">
        <f t="shared" si="7"/>
        <v>Lipsă</v>
      </c>
      <c r="K199" t="str">
        <f>IF(ISNA(VLOOKUP(B199,Conturi!A:A,1,FALSE)),"Lipsă","OK")</f>
        <v>OK</v>
      </c>
      <c r="L199" t="str">
        <f>IF(ISBLANK(C199),"Retragere sau depunere",IF(ISNA(VLOOKUP(C199,Conturi!A:A,1,FALSE)),"Lipsă","OK"))</f>
        <v>Retragere sau depunere</v>
      </c>
    </row>
    <row r="200" spans="1:12">
      <c r="A200">
        <v>214</v>
      </c>
      <c r="B200">
        <v>1066</v>
      </c>
      <c r="D200">
        <v>2557.4699999999998</v>
      </c>
      <c r="E200" s="2">
        <v>44700</v>
      </c>
      <c r="F200" t="s">
        <v>356</v>
      </c>
      <c r="I200" t="str">
        <f t="shared" si="6"/>
        <v>OK</v>
      </c>
      <c r="J200" t="str">
        <f t="shared" si="7"/>
        <v>Lipsă</v>
      </c>
      <c r="K200" t="str">
        <f>IF(ISNA(VLOOKUP(B200,Conturi!A:A,1,FALSE)),"Lipsă","OK")</f>
        <v>OK</v>
      </c>
      <c r="L200" t="str">
        <f>IF(ISBLANK(C200),"Retragere sau depunere",IF(ISNA(VLOOKUP(C200,Conturi!A:A,1,FALSE)),"Lipsă","OK"))</f>
        <v>Retragere sau depunere</v>
      </c>
    </row>
    <row r="201" spans="1:12">
      <c r="A201">
        <v>215</v>
      </c>
      <c r="B201">
        <v>1067</v>
      </c>
      <c r="D201">
        <v>3039.72</v>
      </c>
      <c r="E201" s="2">
        <v>44897</v>
      </c>
      <c r="F201" t="s">
        <v>356</v>
      </c>
      <c r="I201" t="str">
        <f t="shared" si="6"/>
        <v>OK</v>
      </c>
      <c r="J201" t="str">
        <f t="shared" si="7"/>
        <v>Lipsă</v>
      </c>
      <c r="K201" t="str">
        <f>IF(ISNA(VLOOKUP(B201,Conturi!A:A,1,FALSE)),"Lipsă","OK")</f>
        <v>OK</v>
      </c>
      <c r="L201" t="str">
        <f>IF(ISBLANK(C201),"Retragere sau depunere",IF(ISNA(VLOOKUP(C201,Conturi!A:A,1,FALSE)),"Lipsă","OK"))</f>
        <v>Retragere sau depunere</v>
      </c>
    </row>
    <row r="202" spans="1:12">
      <c r="A202">
        <v>216</v>
      </c>
      <c r="B202">
        <v>1067</v>
      </c>
      <c r="D202">
        <v>3113.67</v>
      </c>
      <c r="E202" s="2">
        <v>44590</v>
      </c>
      <c r="F202" t="s">
        <v>358</v>
      </c>
      <c r="I202" t="str">
        <f t="shared" si="6"/>
        <v>OK</v>
      </c>
      <c r="J202" t="str">
        <f t="shared" si="7"/>
        <v>Lipsă</v>
      </c>
      <c r="K202" t="str">
        <f>IF(ISNA(VLOOKUP(B202,Conturi!A:A,1,FALSE)),"Lipsă","OK")</f>
        <v>OK</v>
      </c>
      <c r="L202" t="str">
        <f>IF(ISBLANK(C202),"Retragere sau depunere",IF(ISNA(VLOOKUP(C202,Conturi!A:A,1,FALSE)),"Lipsă","OK"))</f>
        <v>Retragere sau depunere</v>
      </c>
    </row>
    <row r="203" spans="1:12">
      <c r="A203">
        <v>217</v>
      </c>
      <c r="B203">
        <v>1067</v>
      </c>
      <c r="D203">
        <v>718.75</v>
      </c>
      <c r="E203" s="2">
        <v>44919</v>
      </c>
      <c r="F203" t="s">
        <v>358</v>
      </c>
      <c r="I203" t="str">
        <f t="shared" si="6"/>
        <v>OK</v>
      </c>
      <c r="J203" t="str">
        <f t="shared" si="7"/>
        <v>Lipsă</v>
      </c>
      <c r="K203" t="str">
        <f>IF(ISNA(VLOOKUP(B203,Conturi!A:A,1,FALSE)),"Lipsă","OK")</f>
        <v>OK</v>
      </c>
      <c r="L203" t="str">
        <f>IF(ISBLANK(C203),"Retragere sau depunere",IF(ISNA(VLOOKUP(C203,Conturi!A:A,1,FALSE)),"Lipsă","OK"))</f>
        <v>Retragere sau depunere</v>
      </c>
    </row>
    <row r="204" spans="1:12">
      <c r="A204">
        <v>218</v>
      </c>
      <c r="B204">
        <v>1067</v>
      </c>
      <c r="C204">
        <v>1087</v>
      </c>
      <c r="D204">
        <v>2956.06</v>
      </c>
      <c r="E204" s="2">
        <v>44703</v>
      </c>
      <c r="F204" t="s">
        <v>357</v>
      </c>
      <c r="I204" t="str">
        <f t="shared" si="6"/>
        <v>OK</v>
      </c>
      <c r="J204" t="str">
        <f t="shared" si="7"/>
        <v>OK</v>
      </c>
      <c r="K204" t="str">
        <f>IF(ISNA(VLOOKUP(B204,Conturi!A:A,1,FALSE)),"Lipsă","OK")</f>
        <v>OK</v>
      </c>
      <c r="L204" t="str">
        <f>IF(ISBLANK(C204),"Retragere sau depunere",IF(ISNA(VLOOKUP(C204,Conturi!A:A,1,FALSE)),"Lipsă","OK"))</f>
        <v>OK</v>
      </c>
    </row>
    <row r="205" spans="1:12">
      <c r="A205">
        <v>219</v>
      </c>
      <c r="B205">
        <v>1067</v>
      </c>
      <c r="C205">
        <v>1102</v>
      </c>
      <c r="D205">
        <v>3114.31</v>
      </c>
      <c r="E205" s="2">
        <v>44920</v>
      </c>
      <c r="F205" t="s">
        <v>357</v>
      </c>
      <c r="I205" t="str">
        <f t="shared" si="6"/>
        <v>OK</v>
      </c>
      <c r="J205" t="str">
        <f t="shared" si="7"/>
        <v>OK</v>
      </c>
      <c r="K205" t="str">
        <f>IF(ISNA(VLOOKUP(B205,Conturi!A:A,1,FALSE)),"Lipsă","OK")</f>
        <v>OK</v>
      </c>
      <c r="L205" t="str">
        <f>IF(ISBLANK(C205),"Retragere sau depunere",IF(ISNA(VLOOKUP(C205,Conturi!A:A,1,FALSE)),"Lipsă","OK"))</f>
        <v>OK</v>
      </c>
    </row>
    <row r="206" spans="1:12">
      <c r="A206">
        <v>220</v>
      </c>
      <c r="B206">
        <v>1068</v>
      </c>
      <c r="D206">
        <v>2273.9699999999998</v>
      </c>
      <c r="E206" s="2">
        <v>44839</v>
      </c>
      <c r="F206" t="s">
        <v>356</v>
      </c>
      <c r="I206" t="str">
        <f t="shared" si="6"/>
        <v>OK</v>
      </c>
      <c r="J206" t="str">
        <f t="shared" si="7"/>
        <v>Lipsă</v>
      </c>
      <c r="K206" t="str">
        <f>IF(ISNA(VLOOKUP(B206,Conturi!A:A,1,FALSE)),"Lipsă","OK")</f>
        <v>OK</v>
      </c>
      <c r="L206" t="str">
        <f>IF(ISBLANK(C206),"Retragere sau depunere",IF(ISNA(VLOOKUP(C206,Conturi!A:A,1,FALSE)),"Lipsă","OK"))</f>
        <v>Retragere sau depunere</v>
      </c>
    </row>
    <row r="207" spans="1:12">
      <c r="A207">
        <v>221</v>
      </c>
      <c r="B207">
        <v>1069</v>
      </c>
      <c r="D207">
        <v>1380.18</v>
      </c>
      <c r="E207" s="2">
        <v>44891</v>
      </c>
      <c r="F207" t="s">
        <v>358</v>
      </c>
      <c r="I207" t="str">
        <f t="shared" si="6"/>
        <v>OK</v>
      </c>
      <c r="J207" t="str">
        <f t="shared" si="7"/>
        <v>Lipsă</v>
      </c>
      <c r="K207" t="str">
        <f>IF(ISNA(VLOOKUP(B207,Conturi!A:A,1,FALSE)),"Lipsă","OK")</f>
        <v>OK</v>
      </c>
      <c r="L207" t="str">
        <f>IF(ISBLANK(C207),"Retragere sau depunere",IF(ISNA(VLOOKUP(C207,Conturi!A:A,1,FALSE)),"Lipsă","OK"))</f>
        <v>Retragere sau depunere</v>
      </c>
    </row>
    <row r="208" spans="1:12">
      <c r="A208">
        <v>222</v>
      </c>
      <c r="B208">
        <v>1069</v>
      </c>
      <c r="D208">
        <v>312.12</v>
      </c>
      <c r="E208" s="2">
        <v>44632</v>
      </c>
      <c r="F208" t="s">
        <v>356</v>
      </c>
      <c r="I208" t="str">
        <f t="shared" si="6"/>
        <v>OK</v>
      </c>
      <c r="J208" t="str">
        <f t="shared" si="7"/>
        <v>Lipsă</v>
      </c>
      <c r="K208" t="str">
        <f>IF(ISNA(VLOOKUP(B208,Conturi!A:A,1,FALSE)),"Lipsă","OK")</f>
        <v>OK</v>
      </c>
      <c r="L208" t="str">
        <f>IF(ISBLANK(C208),"Retragere sau depunere",IF(ISNA(VLOOKUP(C208,Conturi!A:A,1,FALSE)),"Lipsă","OK"))</f>
        <v>Retragere sau depunere</v>
      </c>
    </row>
    <row r="209" spans="1:12">
      <c r="A209">
        <v>223</v>
      </c>
      <c r="B209">
        <v>1069</v>
      </c>
      <c r="D209">
        <v>1204.06</v>
      </c>
      <c r="E209" s="2">
        <v>44721</v>
      </c>
      <c r="F209" t="s">
        <v>358</v>
      </c>
      <c r="I209" t="str">
        <f t="shared" si="6"/>
        <v>OK</v>
      </c>
      <c r="J209" t="str">
        <f t="shared" si="7"/>
        <v>Lipsă</v>
      </c>
      <c r="K209" t="str">
        <f>IF(ISNA(VLOOKUP(B209,Conturi!A:A,1,FALSE)),"Lipsă","OK")</f>
        <v>OK</v>
      </c>
      <c r="L209" t="str">
        <f>IF(ISBLANK(C209),"Retragere sau depunere",IF(ISNA(VLOOKUP(C209,Conturi!A:A,1,FALSE)),"Lipsă","OK"))</f>
        <v>Retragere sau depunere</v>
      </c>
    </row>
    <row r="210" spans="1:12">
      <c r="A210">
        <v>224</v>
      </c>
      <c r="B210">
        <v>1069</v>
      </c>
      <c r="C210">
        <v>1143</v>
      </c>
      <c r="D210">
        <v>2924.4</v>
      </c>
      <c r="E210" s="2">
        <v>44761</v>
      </c>
      <c r="F210" t="s">
        <v>357</v>
      </c>
      <c r="I210" t="str">
        <f t="shared" si="6"/>
        <v>OK</v>
      </c>
      <c r="J210" t="str">
        <f t="shared" si="7"/>
        <v>OK</v>
      </c>
      <c r="K210" t="str">
        <f>IF(ISNA(VLOOKUP(B210,Conturi!A:A,1,FALSE)),"Lipsă","OK")</f>
        <v>OK</v>
      </c>
      <c r="L210" t="str">
        <f>IF(ISBLANK(C210),"Retragere sau depunere",IF(ISNA(VLOOKUP(C210,Conturi!A:A,1,FALSE)),"Lipsă","OK"))</f>
        <v>OK</v>
      </c>
    </row>
    <row r="211" spans="1:12">
      <c r="A211">
        <v>225</v>
      </c>
      <c r="B211">
        <v>1070</v>
      </c>
      <c r="C211">
        <v>1170</v>
      </c>
      <c r="D211">
        <v>4144.24</v>
      </c>
      <c r="E211" s="2">
        <v>44600</v>
      </c>
      <c r="F211" t="s">
        <v>357</v>
      </c>
      <c r="I211" t="str">
        <f t="shared" si="6"/>
        <v>OK</v>
      </c>
      <c r="J211" t="str">
        <f t="shared" si="7"/>
        <v>OK</v>
      </c>
      <c r="K211" t="str">
        <f>IF(ISNA(VLOOKUP(B211,Conturi!A:A,1,FALSE)),"Lipsă","OK")</f>
        <v>OK</v>
      </c>
      <c r="L211" t="str">
        <f>IF(ISBLANK(C211),"Retragere sau depunere",IF(ISNA(VLOOKUP(C211,Conturi!A:A,1,FALSE)),"Lipsă","OK"))</f>
        <v>OK</v>
      </c>
    </row>
    <row r="212" spans="1:12">
      <c r="A212">
        <v>226</v>
      </c>
      <c r="B212">
        <v>1070</v>
      </c>
      <c r="C212">
        <v>1019</v>
      </c>
      <c r="D212">
        <v>4413.8900000000003</v>
      </c>
      <c r="E212" s="2">
        <v>44662</v>
      </c>
      <c r="F212" t="s">
        <v>357</v>
      </c>
      <c r="I212" t="str">
        <f t="shared" si="6"/>
        <v>OK</v>
      </c>
      <c r="J212" t="str">
        <f t="shared" si="7"/>
        <v>OK</v>
      </c>
      <c r="K212" t="str">
        <f>IF(ISNA(VLOOKUP(B212,Conturi!A:A,1,FALSE)),"Lipsă","OK")</f>
        <v>OK</v>
      </c>
      <c r="L212" t="str">
        <f>IF(ISBLANK(C212),"Retragere sau depunere",IF(ISNA(VLOOKUP(C212,Conturi!A:A,1,FALSE)),"Lipsă","OK"))</f>
        <v>OK</v>
      </c>
    </row>
    <row r="213" spans="1:12">
      <c r="A213">
        <v>227</v>
      </c>
      <c r="B213">
        <v>1070</v>
      </c>
      <c r="C213">
        <v>1109</v>
      </c>
      <c r="D213">
        <v>3411.86</v>
      </c>
      <c r="E213" s="2">
        <v>44830</v>
      </c>
      <c r="F213" t="s">
        <v>357</v>
      </c>
      <c r="I213" t="str">
        <f t="shared" si="6"/>
        <v>OK</v>
      </c>
      <c r="J213" t="str">
        <f t="shared" si="7"/>
        <v>OK</v>
      </c>
      <c r="K213" t="str">
        <f>IF(ISNA(VLOOKUP(B213,Conturi!A:A,1,FALSE)),"Lipsă","OK")</f>
        <v>OK</v>
      </c>
      <c r="L213" t="str">
        <f>IF(ISBLANK(C213),"Retragere sau depunere",IF(ISNA(VLOOKUP(C213,Conturi!A:A,1,FALSE)),"Lipsă","OK"))</f>
        <v>OK</v>
      </c>
    </row>
    <row r="214" spans="1:12">
      <c r="A214">
        <v>228</v>
      </c>
      <c r="B214">
        <v>1071</v>
      </c>
      <c r="C214">
        <v>1094</v>
      </c>
      <c r="D214">
        <v>670.24</v>
      </c>
      <c r="E214" s="2">
        <v>44636</v>
      </c>
      <c r="F214" t="s">
        <v>357</v>
      </c>
      <c r="I214" t="str">
        <f t="shared" si="6"/>
        <v>OK</v>
      </c>
      <c r="J214" t="str">
        <f t="shared" si="7"/>
        <v>OK</v>
      </c>
      <c r="K214" t="str">
        <f>IF(ISNA(VLOOKUP(B214,Conturi!A:A,1,FALSE)),"Lipsă","OK")</f>
        <v>OK</v>
      </c>
      <c r="L214" t="str">
        <f>IF(ISBLANK(C214),"Retragere sau depunere",IF(ISNA(VLOOKUP(C214,Conturi!A:A,1,FALSE)),"Lipsă","OK"))</f>
        <v>OK</v>
      </c>
    </row>
    <row r="215" spans="1:12">
      <c r="A215">
        <v>229</v>
      </c>
      <c r="B215">
        <v>1071</v>
      </c>
      <c r="D215">
        <v>3701.48</v>
      </c>
      <c r="E215" s="2">
        <v>44766</v>
      </c>
      <c r="F215" t="s">
        <v>356</v>
      </c>
      <c r="I215" t="str">
        <f t="shared" si="6"/>
        <v>OK</v>
      </c>
      <c r="J215" t="str">
        <f t="shared" si="7"/>
        <v>Lipsă</v>
      </c>
      <c r="K215" t="str">
        <f>IF(ISNA(VLOOKUP(B215,Conturi!A:A,1,FALSE)),"Lipsă","OK")</f>
        <v>OK</v>
      </c>
      <c r="L215" t="str">
        <f>IF(ISBLANK(C215),"Retragere sau depunere",IF(ISNA(VLOOKUP(C215,Conturi!A:A,1,FALSE)),"Lipsă","OK"))</f>
        <v>Retragere sau depunere</v>
      </c>
    </row>
    <row r="216" spans="1:12">
      <c r="A216">
        <v>230</v>
      </c>
      <c r="B216">
        <v>1071</v>
      </c>
      <c r="C216">
        <v>1142</v>
      </c>
      <c r="D216">
        <v>4833.9799999999996</v>
      </c>
      <c r="E216" s="2">
        <v>44843</v>
      </c>
      <c r="F216" t="s">
        <v>357</v>
      </c>
      <c r="I216" t="str">
        <f t="shared" si="6"/>
        <v>OK</v>
      </c>
      <c r="J216" t="str">
        <f t="shared" si="7"/>
        <v>OK</v>
      </c>
      <c r="K216" t="str">
        <f>IF(ISNA(VLOOKUP(B216,Conturi!A:A,1,FALSE)),"Lipsă","OK")</f>
        <v>OK</v>
      </c>
      <c r="L216" t="str">
        <f>IF(ISBLANK(C216),"Retragere sau depunere",IF(ISNA(VLOOKUP(C216,Conturi!A:A,1,FALSE)),"Lipsă","OK"))</f>
        <v>OK</v>
      </c>
    </row>
    <row r="217" spans="1:12">
      <c r="A217">
        <v>231</v>
      </c>
      <c r="B217">
        <v>1071</v>
      </c>
      <c r="D217">
        <v>2741.06</v>
      </c>
      <c r="E217" s="2">
        <v>44873</v>
      </c>
      <c r="F217" t="s">
        <v>358</v>
      </c>
      <c r="I217" t="str">
        <f t="shared" si="6"/>
        <v>OK</v>
      </c>
      <c r="J217" t="str">
        <f t="shared" si="7"/>
        <v>Lipsă</v>
      </c>
      <c r="K217" t="str">
        <f>IF(ISNA(VLOOKUP(B217,Conturi!A:A,1,FALSE)),"Lipsă","OK")</f>
        <v>OK</v>
      </c>
      <c r="L217" t="str">
        <f>IF(ISBLANK(C217),"Retragere sau depunere",IF(ISNA(VLOOKUP(C217,Conturi!A:A,1,FALSE)),"Lipsă","OK"))</f>
        <v>Retragere sau depunere</v>
      </c>
    </row>
    <row r="218" spans="1:12">
      <c r="A218">
        <v>232</v>
      </c>
      <c r="B218">
        <v>1071</v>
      </c>
      <c r="D218">
        <v>514.15</v>
      </c>
      <c r="E218" s="2">
        <v>44892</v>
      </c>
      <c r="F218" t="s">
        <v>356</v>
      </c>
      <c r="I218" t="str">
        <f t="shared" si="6"/>
        <v>OK</v>
      </c>
      <c r="J218" t="str">
        <f t="shared" si="7"/>
        <v>Lipsă</v>
      </c>
      <c r="K218" t="str">
        <f>IF(ISNA(VLOOKUP(B218,Conturi!A:A,1,FALSE)),"Lipsă","OK")</f>
        <v>OK</v>
      </c>
      <c r="L218" t="str">
        <f>IF(ISBLANK(C218),"Retragere sau depunere",IF(ISNA(VLOOKUP(C218,Conturi!A:A,1,FALSE)),"Lipsă","OK"))</f>
        <v>Retragere sau depunere</v>
      </c>
    </row>
    <row r="219" spans="1:12">
      <c r="A219">
        <v>233</v>
      </c>
      <c r="B219">
        <v>1072</v>
      </c>
      <c r="C219">
        <v>1143</v>
      </c>
      <c r="D219">
        <v>3592.83</v>
      </c>
      <c r="E219" s="2">
        <v>44585</v>
      </c>
      <c r="F219" t="s">
        <v>357</v>
      </c>
      <c r="I219" t="str">
        <f t="shared" si="6"/>
        <v>OK</v>
      </c>
      <c r="J219" t="str">
        <f t="shared" si="7"/>
        <v>OK</v>
      </c>
      <c r="K219" t="str">
        <f>IF(ISNA(VLOOKUP(B219,Conturi!A:A,1,FALSE)),"Lipsă","OK")</f>
        <v>OK</v>
      </c>
      <c r="L219" t="str">
        <f>IF(ISBLANK(C219),"Retragere sau depunere",IF(ISNA(VLOOKUP(C219,Conturi!A:A,1,FALSE)),"Lipsă","OK"))</f>
        <v>OK</v>
      </c>
    </row>
    <row r="220" spans="1:12">
      <c r="A220">
        <v>234</v>
      </c>
      <c r="B220">
        <v>1072</v>
      </c>
      <c r="D220">
        <v>405.06</v>
      </c>
      <c r="E220" s="2">
        <v>44761</v>
      </c>
      <c r="F220" t="s">
        <v>358</v>
      </c>
      <c r="I220" t="str">
        <f t="shared" si="6"/>
        <v>OK</v>
      </c>
      <c r="J220" t="str">
        <f t="shared" si="7"/>
        <v>Lipsă</v>
      </c>
      <c r="K220" t="str">
        <f>IF(ISNA(VLOOKUP(B220,Conturi!A:A,1,FALSE)),"Lipsă","OK")</f>
        <v>OK</v>
      </c>
      <c r="L220" t="str">
        <f>IF(ISBLANK(C220),"Retragere sau depunere",IF(ISNA(VLOOKUP(C220,Conturi!A:A,1,FALSE)),"Lipsă","OK"))</f>
        <v>Retragere sau depunere</v>
      </c>
    </row>
    <row r="221" spans="1:12">
      <c r="A221">
        <v>235</v>
      </c>
      <c r="B221">
        <v>1073</v>
      </c>
      <c r="D221">
        <v>654.05999999999995</v>
      </c>
      <c r="E221" s="2">
        <v>44747</v>
      </c>
      <c r="F221" t="s">
        <v>356</v>
      </c>
      <c r="I221" t="str">
        <f t="shared" si="6"/>
        <v>OK</v>
      </c>
      <c r="J221" t="str">
        <f t="shared" si="7"/>
        <v>Lipsă</v>
      </c>
      <c r="K221" t="str">
        <f>IF(ISNA(VLOOKUP(B221,Conturi!A:A,1,FALSE)),"Lipsă","OK")</f>
        <v>OK</v>
      </c>
      <c r="L221" t="str">
        <f>IF(ISBLANK(C221),"Retragere sau depunere",IF(ISNA(VLOOKUP(C221,Conturi!A:A,1,FALSE)),"Lipsă","OK"))</f>
        <v>Retragere sau depunere</v>
      </c>
    </row>
    <row r="222" spans="1:12">
      <c r="A222">
        <v>236</v>
      </c>
      <c r="B222">
        <v>1074</v>
      </c>
      <c r="D222">
        <v>13.97</v>
      </c>
      <c r="E222" s="2">
        <v>44781</v>
      </c>
      <c r="F222" t="s">
        <v>356</v>
      </c>
      <c r="I222" t="str">
        <f t="shared" si="6"/>
        <v>OK</v>
      </c>
      <c r="J222" t="str">
        <f t="shared" si="7"/>
        <v>Lipsă</v>
      </c>
      <c r="K222" t="str">
        <f>IF(ISNA(VLOOKUP(B222,Conturi!A:A,1,FALSE)),"Lipsă","OK")</f>
        <v>OK</v>
      </c>
      <c r="L222" t="str">
        <f>IF(ISBLANK(C222),"Retragere sau depunere",IF(ISNA(VLOOKUP(C222,Conturi!A:A,1,FALSE)),"Lipsă","OK"))</f>
        <v>Retragere sau depunere</v>
      </c>
    </row>
    <row r="223" spans="1:12">
      <c r="A223">
        <v>237</v>
      </c>
      <c r="B223">
        <v>1074</v>
      </c>
      <c r="D223">
        <v>3425.5</v>
      </c>
      <c r="E223" s="2">
        <v>44770</v>
      </c>
      <c r="F223" t="s">
        <v>358</v>
      </c>
      <c r="I223" t="str">
        <f t="shared" si="6"/>
        <v>OK</v>
      </c>
      <c r="J223" t="str">
        <f t="shared" si="7"/>
        <v>Lipsă</v>
      </c>
      <c r="K223" t="str">
        <f>IF(ISNA(VLOOKUP(B223,Conturi!A:A,1,FALSE)),"Lipsă","OK")</f>
        <v>OK</v>
      </c>
      <c r="L223" t="str">
        <f>IF(ISBLANK(C223),"Retragere sau depunere",IF(ISNA(VLOOKUP(C223,Conturi!A:A,1,FALSE)),"Lipsă","OK"))</f>
        <v>Retragere sau depunere</v>
      </c>
    </row>
    <row r="224" spans="1:12">
      <c r="A224">
        <v>238</v>
      </c>
      <c r="B224">
        <v>1074</v>
      </c>
      <c r="C224">
        <v>1174</v>
      </c>
      <c r="D224">
        <v>4930.3100000000004</v>
      </c>
      <c r="E224" s="2">
        <v>44712</v>
      </c>
      <c r="F224" t="s">
        <v>357</v>
      </c>
      <c r="I224" t="str">
        <f t="shared" si="6"/>
        <v>OK</v>
      </c>
      <c r="J224" t="str">
        <f t="shared" si="7"/>
        <v>OK</v>
      </c>
      <c r="K224" t="str">
        <f>IF(ISNA(VLOOKUP(B224,Conturi!A:A,1,FALSE)),"Lipsă","OK")</f>
        <v>OK</v>
      </c>
      <c r="L224" t="str">
        <f>IF(ISBLANK(C224),"Retragere sau depunere",IF(ISNA(VLOOKUP(C224,Conturi!A:A,1,FALSE)),"Lipsă","OK"))</f>
        <v>OK</v>
      </c>
    </row>
    <row r="225" spans="1:12">
      <c r="A225">
        <v>239</v>
      </c>
      <c r="B225">
        <v>1075</v>
      </c>
      <c r="C225">
        <v>1147</v>
      </c>
      <c r="D225">
        <v>2325.79</v>
      </c>
      <c r="E225" s="2">
        <v>44751</v>
      </c>
      <c r="F225" t="s">
        <v>357</v>
      </c>
      <c r="I225" t="str">
        <f t="shared" si="6"/>
        <v>OK</v>
      </c>
      <c r="J225" t="str">
        <f t="shared" si="7"/>
        <v>OK</v>
      </c>
      <c r="K225" t="str">
        <f>IF(ISNA(VLOOKUP(B225,Conturi!A:A,1,FALSE)),"Lipsă","OK")</f>
        <v>OK</v>
      </c>
      <c r="L225" t="str">
        <f>IF(ISBLANK(C225),"Retragere sau depunere",IF(ISNA(VLOOKUP(C225,Conturi!A:A,1,FALSE)),"Lipsă","OK"))</f>
        <v>OK</v>
      </c>
    </row>
    <row r="226" spans="1:12">
      <c r="A226">
        <v>240</v>
      </c>
      <c r="B226">
        <v>1076</v>
      </c>
      <c r="D226">
        <v>1598.2</v>
      </c>
      <c r="E226" s="2">
        <v>44664</v>
      </c>
      <c r="F226" t="s">
        <v>358</v>
      </c>
      <c r="I226" t="str">
        <f t="shared" si="6"/>
        <v>OK</v>
      </c>
      <c r="J226" t="str">
        <f t="shared" si="7"/>
        <v>Lipsă</v>
      </c>
      <c r="K226" t="str">
        <f>IF(ISNA(VLOOKUP(B226,Conturi!A:A,1,FALSE)),"Lipsă","OK")</f>
        <v>OK</v>
      </c>
      <c r="L226" t="str">
        <f>IF(ISBLANK(C226),"Retragere sau depunere",IF(ISNA(VLOOKUP(C226,Conturi!A:A,1,FALSE)),"Lipsă","OK"))</f>
        <v>Retragere sau depunere</v>
      </c>
    </row>
    <row r="227" spans="1:12">
      <c r="A227">
        <v>241</v>
      </c>
      <c r="B227">
        <v>1076</v>
      </c>
      <c r="D227">
        <v>2756.28</v>
      </c>
      <c r="E227" s="2">
        <v>44719</v>
      </c>
      <c r="F227" t="s">
        <v>358</v>
      </c>
      <c r="I227" t="str">
        <f t="shared" si="6"/>
        <v>OK</v>
      </c>
      <c r="J227" t="str">
        <f t="shared" si="7"/>
        <v>Lipsă</v>
      </c>
      <c r="K227" t="str">
        <f>IF(ISNA(VLOOKUP(B227,Conturi!A:A,1,FALSE)),"Lipsă","OK")</f>
        <v>OK</v>
      </c>
      <c r="L227" t="str">
        <f>IF(ISBLANK(C227),"Retragere sau depunere",IF(ISNA(VLOOKUP(C227,Conturi!A:A,1,FALSE)),"Lipsă","OK"))</f>
        <v>Retragere sau depunere</v>
      </c>
    </row>
    <row r="228" spans="1:12">
      <c r="A228">
        <v>242</v>
      </c>
      <c r="B228">
        <v>1076</v>
      </c>
      <c r="C228">
        <v>1151</v>
      </c>
      <c r="D228">
        <v>4748.6000000000004</v>
      </c>
      <c r="E228" s="2">
        <v>44907</v>
      </c>
      <c r="F228" t="s">
        <v>357</v>
      </c>
      <c r="I228" t="str">
        <f t="shared" si="6"/>
        <v>OK</v>
      </c>
      <c r="J228" t="str">
        <f t="shared" si="7"/>
        <v>OK</v>
      </c>
      <c r="K228" t="str">
        <f>IF(ISNA(VLOOKUP(B228,Conturi!A:A,1,FALSE)),"Lipsă","OK")</f>
        <v>OK</v>
      </c>
      <c r="L228" t="str">
        <f>IF(ISBLANK(C228),"Retragere sau depunere",IF(ISNA(VLOOKUP(C228,Conturi!A:A,1,FALSE)),"Lipsă","OK"))</f>
        <v>OK</v>
      </c>
    </row>
    <row r="229" spans="1:12">
      <c r="A229">
        <v>243</v>
      </c>
      <c r="B229">
        <v>1076</v>
      </c>
      <c r="C229">
        <v>1069</v>
      </c>
      <c r="D229">
        <v>3615.36</v>
      </c>
      <c r="E229" s="2">
        <v>44660</v>
      </c>
      <c r="F229" t="s">
        <v>357</v>
      </c>
      <c r="I229" t="str">
        <f t="shared" si="6"/>
        <v>OK</v>
      </c>
      <c r="J229" t="str">
        <f t="shared" si="7"/>
        <v>OK</v>
      </c>
      <c r="K229" t="str">
        <f>IF(ISNA(VLOOKUP(B229,Conturi!A:A,1,FALSE)),"Lipsă","OK")</f>
        <v>OK</v>
      </c>
      <c r="L229" t="str">
        <f>IF(ISBLANK(C229),"Retragere sau depunere",IF(ISNA(VLOOKUP(C229,Conturi!A:A,1,FALSE)),"Lipsă","OK"))</f>
        <v>OK</v>
      </c>
    </row>
    <row r="230" spans="1:12">
      <c r="A230">
        <v>244</v>
      </c>
      <c r="B230">
        <v>1076</v>
      </c>
      <c r="D230">
        <v>4301.95</v>
      </c>
      <c r="E230" s="2">
        <v>44686</v>
      </c>
      <c r="F230" t="s">
        <v>356</v>
      </c>
      <c r="I230" t="str">
        <f t="shared" si="6"/>
        <v>OK</v>
      </c>
      <c r="J230" t="str">
        <f t="shared" si="7"/>
        <v>Lipsă</v>
      </c>
      <c r="K230" t="str">
        <f>IF(ISNA(VLOOKUP(B230,Conturi!A:A,1,FALSE)),"Lipsă","OK")</f>
        <v>OK</v>
      </c>
      <c r="L230" t="str">
        <f>IF(ISBLANK(C230),"Retragere sau depunere",IF(ISNA(VLOOKUP(C230,Conturi!A:A,1,FALSE)),"Lipsă","OK"))</f>
        <v>Retragere sau depunere</v>
      </c>
    </row>
    <row r="231" spans="1:12">
      <c r="A231">
        <v>245</v>
      </c>
      <c r="B231">
        <v>1077</v>
      </c>
      <c r="C231">
        <v>1041</v>
      </c>
      <c r="D231">
        <v>2102.6999999999998</v>
      </c>
      <c r="E231" s="2">
        <v>44771</v>
      </c>
      <c r="F231" t="s">
        <v>357</v>
      </c>
      <c r="I231" t="str">
        <f t="shared" si="6"/>
        <v>OK</v>
      </c>
      <c r="J231" t="str">
        <f t="shared" si="7"/>
        <v>OK</v>
      </c>
      <c r="K231" t="str">
        <f>IF(ISNA(VLOOKUP(B231,Conturi!A:A,1,FALSE)),"Lipsă","OK")</f>
        <v>OK</v>
      </c>
      <c r="L231" t="str">
        <f>IF(ISBLANK(C231),"Retragere sau depunere",IF(ISNA(VLOOKUP(C231,Conturi!A:A,1,FALSE)),"Lipsă","OK"))</f>
        <v>OK</v>
      </c>
    </row>
    <row r="232" spans="1:12">
      <c r="A232">
        <v>246</v>
      </c>
      <c r="B232">
        <v>1077</v>
      </c>
      <c r="D232">
        <v>1455.49</v>
      </c>
      <c r="E232" s="2">
        <v>44810</v>
      </c>
      <c r="F232" t="s">
        <v>356</v>
      </c>
      <c r="I232" t="str">
        <f t="shared" si="6"/>
        <v>OK</v>
      </c>
      <c r="J232" t="str">
        <f t="shared" si="7"/>
        <v>Lipsă</v>
      </c>
      <c r="K232" t="str">
        <f>IF(ISNA(VLOOKUP(B232,Conturi!A:A,1,FALSE)),"Lipsă","OK")</f>
        <v>OK</v>
      </c>
      <c r="L232" t="str">
        <f>IF(ISBLANK(C232),"Retragere sau depunere",IF(ISNA(VLOOKUP(C232,Conturi!A:A,1,FALSE)),"Lipsă","OK"))</f>
        <v>Retragere sau depunere</v>
      </c>
    </row>
    <row r="233" spans="1:12">
      <c r="A233">
        <v>247</v>
      </c>
      <c r="B233">
        <v>1077</v>
      </c>
      <c r="D233">
        <v>771.3</v>
      </c>
      <c r="E233" s="2">
        <v>44801</v>
      </c>
      <c r="F233" t="s">
        <v>356</v>
      </c>
      <c r="I233" t="str">
        <f t="shared" si="6"/>
        <v>OK</v>
      </c>
      <c r="J233" t="str">
        <f t="shared" si="7"/>
        <v>Lipsă</v>
      </c>
      <c r="K233" t="str">
        <f>IF(ISNA(VLOOKUP(B233,Conturi!A:A,1,FALSE)),"Lipsă","OK")</f>
        <v>OK</v>
      </c>
      <c r="L233" t="str">
        <f>IF(ISBLANK(C233),"Retragere sau depunere",IF(ISNA(VLOOKUP(C233,Conturi!A:A,1,FALSE)),"Lipsă","OK"))</f>
        <v>Retragere sau depunere</v>
      </c>
    </row>
    <row r="234" spans="1:12">
      <c r="A234">
        <v>248</v>
      </c>
      <c r="B234">
        <v>1077</v>
      </c>
      <c r="D234">
        <v>2383.48</v>
      </c>
      <c r="E234" s="2">
        <v>44562</v>
      </c>
      <c r="F234" t="s">
        <v>356</v>
      </c>
      <c r="I234" t="str">
        <f t="shared" si="6"/>
        <v>OK</v>
      </c>
      <c r="J234" t="str">
        <f t="shared" si="7"/>
        <v>Lipsă</v>
      </c>
      <c r="K234" t="str">
        <f>IF(ISNA(VLOOKUP(B234,Conturi!A:A,1,FALSE)),"Lipsă","OK")</f>
        <v>OK</v>
      </c>
      <c r="L234" t="str">
        <f>IF(ISBLANK(C234),"Retragere sau depunere",IF(ISNA(VLOOKUP(C234,Conturi!A:A,1,FALSE)),"Lipsă","OK"))</f>
        <v>Retragere sau depunere</v>
      </c>
    </row>
    <row r="235" spans="1:12">
      <c r="A235">
        <v>249</v>
      </c>
      <c r="B235">
        <v>1077</v>
      </c>
      <c r="D235">
        <v>4229.67</v>
      </c>
      <c r="E235" s="2">
        <v>44683</v>
      </c>
      <c r="F235" t="s">
        <v>356</v>
      </c>
      <c r="I235" t="str">
        <f t="shared" si="6"/>
        <v>OK</v>
      </c>
      <c r="J235" t="str">
        <f t="shared" si="7"/>
        <v>Lipsă</v>
      </c>
      <c r="K235" t="str">
        <f>IF(ISNA(VLOOKUP(B235,Conturi!A:A,1,FALSE)),"Lipsă","OK")</f>
        <v>OK</v>
      </c>
      <c r="L235" t="str">
        <f>IF(ISBLANK(C235),"Retragere sau depunere",IF(ISNA(VLOOKUP(C235,Conturi!A:A,1,FALSE)),"Lipsă","OK"))</f>
        <v>Retragere sau depunere</v>
      </c>
    </row>
    <row r="236" spans="1:12">
      <c r="A236">
        <v>250</v>
      </c>
      <c r="B236">
        <v>1078</v>
      </c>
      <c r="D236">
        <v>4326.07</v>
      </c>
      <c r="E236" s="2">
        <v>44714</v>
      </c>
      <c r="F236" t="s">
        <v>358</v>
      </c>
      <c r="I236" t="str">
        <f t="shared" si="6"/>
        <v>OK</v>
      </c>
      <c r="J236" t="str">
        <f t="shared" si="7"/>
        <v>Lipsă</v>
      </c>
      <c r="K236" t="str">
        <f>IF(ISNA(VLOOKUP(B236,Conturi!A:A,1,FALSE)),"Lipsă","OK")</f>
        <v>OK</v>
      </c>
      <c r="L236" t="str">
        <f>IF(ISBLANK(C236),"Retragere sau depunere",IF(ISNA(VLOOKUP(C236,Conturi!A:A,1,FALSE)),"Lipsă","OK"))</f>
        <v>Retragere sau depunere</v>
      </c>
    </row>
    <row r="237" spans="1:12">
      <c r="A237">
        <v>251</v>
      </c>
      <c r="B237">
        <v>1078</v>
      </c>
      <c r="D237">
        <v>3702.09</v>
      </c>
      <c r="E237" s="2">
        <v>44592</v>
      </c>
      <c r="F237" t="s">
        <v>358</v>
      </c>
      <c r="I237" t="str">
        <f t="shared" si="6"/>
        <v>OK</v>
      </c>
      <c r="J237" t="str">
        <f t="shared" si="7"/>
        <v>Lipsă</v>
      </c>
      <c r="K237" t="str">
        <f>IF(ISNA(VLOOKUP(B237,Conturi!A:A,1,FALSE)),"Lipsă","OK")</f>
        <v>OK</v>
      </c>
      <c r="L237" t="str">
        <f>IF(ISBLANK(C237),"Retragere sau depunere",IF(ISNA(VLOOKUP(C237,Conturi!A:A,1,FALSE)),"Lipsă","OK"))</f>
        <v>Retragere sau depunere</v>
      </c>
    </row>
    <row r="238" spans="1:12">
      <c r="A238">
        <v>252</v>
      </c>
      <c r="B238">
        <v>1078</v>
      </c>
      <c r="C238">
        <v>1138</v>
      </c>
      <c r="D238">
        <v>4292.95</v>
      </c>
      <c r="E238" s="2">
        <v>44613</v>
      </c>
      <c r="F238" t="s">
        <v>357</v>
      </c>
      <c r="I238" t="str">
        <f t="shared" si="6"/>
        <v>OK</v>
      </c>
      <c r="J238" t="str">
        <f t="shared" si="7"/>
        <v>OK</v>
      </c>
      <c r="K238" t="str">
        <f>IF(ISNA(VLOOKUP(B238,Conturi!A:A,1,FALSE)),"Lipsă","OK")</f>
        <v>OK</v>
      </c>
      <c r="L238" t="str">
        <f>IF(ISBLANK(C238),"Retragere sau depunere",IF(ISNA(VLOOKUP(C238,Conturi!A:A,1,FALSE)),"Lipsă","OK"))</f>
        <v>OK</v>
      </c>
    </row>
    <row r="239" spans="1:12">
      <c r="A239">
        <v>253</v>
      </c>
      <c r="B239">
        <v>1078</v>
      </c>
      <c r="C239">
        <v>1056</v>
      </c>
      <c r="D239">
        <v>4221.95</v>
      </c>
      <c r="E239" s="2">
        <v>44679</v>
      </c>
      <c r="F239" t="s">
        <v>357</v>
      </c>
      <c r="I239" t="str">
        <f t="shared" si="6"/>
        <v>OK</v>
      </c>
      <c r="J239" t="str">
        <f t="shared" si="7"/>
        <v>OK</v>
      </c>
      <c r="K239" t="str">
        <f>IF(ISNA(VLOOKUP(B239,Conturi!A:A,1,FALSE)),"Lipsă","OK")</f>
        <v>OK</v>
      </c>
      <c r="L239" t="str">
        <f>IF(ISBLANK(C239),"Retragere sau depunere",IF(ISNA(VLOOKUP(C239,Conturi!A:A,1,FALSE)),"Lipsă","OK"))</f>
        <v>OK</v>
      </c>
    </row>
    <row r="240" spans="1:12">
      <c r="A240">
        <v>254</v>
      </c>
      <c r="B240">
        <v>1078</v>
      </c>
      <c r="C240">
        <v>1157</v>
      </c>
      <c r="D240">
        <v>3912.02</v>
      </c>
      <c r="E240" s="2">
        <v>44718</v>
      </c>
      <c r="F240" t="s">
        <v>357</v>
      </c>
      <c r="I240" t="str">
        <f t="shared" si="6"/>
        <v>OK</v>
      </c>
      <c r="J240" t="str">
        <f t="shared" si="7"/>
        <v>OK</v>
      </c>
      <c r="K240" t="str">
        <f>IF(ISNA(VLOOKUP(B240,Conturi!A:A,1,FALSE)),"Lipsă","OK")</f>
        <v>OK</v>
      </c>
      <c r="L240" t="str">
        <f>IF(ISBLANK(C240),"Retragere sau depunere",IF(ISNA(VLOOKUP(C240,Conturi!A:A,1,FALSE)),"Lipsă","OK"))</f>
        <v>OK</v>
      </c>
    </row>
    <row r="241" spans="1:12">
      <c r="A241">
        <v>255</v>
      </c>
      <c r="B241">
        <v>1079</v>
      </c>
      <c r="D241">
        <v>2036.07</v>
      </c>
      <c r="E241" s="2">
        <v>44853</v>
      </c>
      <c r="F241" t="s">
        <v>358</v>
      </c>
      <c r="I241" t="str">
        <f t="shared" si="6"/>
        <v>OK</v>
      </c>
      <c r="J241" t="str">
        <f t="shared" si="7"/>
        <v>Lipsă</v>
      </c>
      <c r="K241" t="str">
        <f>IF(ISNA(VLOOKUP(B241,Conturi!A:A,1,FALSE)),"Lipsă","OK")</f>
        <v>OK</v>
      </c>
      <c r="L241" t="str">
        <f>IF(ISBLANK(C241),"Retragere sau depunere",IF(ISNA(VLOOKUP(C241,Conturi!A:A,1,FALSE)),"Lipsă","OK"))</f>
        <v>Retragere sau depunere</v>
      </c>
    </row>
    <row r="242" spans="1:12">
      <c r="A242">
        <v>256</v>
      </c>
      <c r="B242">
        <v>1079</v>
      </c>
      <c r="D242">
        <v>1315.13</v>
      </c>
      <c r="E242" s="2">
        <v>44799</v>
      </c>
      <c r="F242" t="s">
        <v>356</v>
      </c>
      <c r="I242" t="str">
        <f t="shared" si="6"/>
        <v>OK</v>
      </c>
      <c r="J242" t="str">
        <f t="shared" si="7"/>
        <v>Lipsă</v>
      </c>
      <c r="K242" t="str">
        <f>IF(ISNA(VLOOKUP(B242,Conturi!A:A,1,FALSE)),"Lipsă","OK")</f>
        <v>OK</v>
      </c>
      <c r="L242" t="str">
        <f>IF(ISBLANK(C242),"Retragere sau depunere",IF(ISNA(VLOOKUP(C242,Conturi!A:A,1,FALSE)),"Lipsă","OK"))</f>
        <v>Retragere sau depunere</v>
      </c>
    </row>
    <row r="243" spans="1:12">
      <c r="A243">
        <v>257</v>
      </c>
      <c r="B243">
        <v>1079</v>
      </c>
      <c r="C243">
        <v>1124</v>
      </c>
      <c r="D243">
        <v>806.41</v>
      </c>
      <c r="E243" s="2">
        <v>44774</v>
      </c>
      <c r="F243" t="s">
        <v>357</v>
      </c>
      <c r="I243" t="str">
        <f t="shared" si="6"/>
        <v>OK</v>
      </c>
      <c r="J243" t="str">
        <f t="shared" si="7"/>
        <v>OK</v>
      </c>
      <c r="K243" t="str">
        <f>IF(ISNA(VLOOKUP(B243,Conturi!A:A,1,FALSE)),"Lipsă","OK")</f>
        <v>OK</v>
      </c>
      <c r="L243" t="str">
        <f>IF(ISBLANK(C243),"Retragere sau depunere",IF(ISNA(VLOOKUP(C243,Conturi!A:A,1,FALSE)),"Lipsă","OK"))</f>
        <v>OK</v>
      </c>
    </row>
    <row r="244" spans="1:12">
      <c r="A244">
        <v>258</v>
      </c>
      <c r="B244">
        <v>1079</v>
      </c>
      <c r="D244">
        <v>1081.43</v>
      </c>
      <c r="E244" s="2">
        <v>44631</v>
      </c>
      <c r="F244" t="s">
        <v>358</v>
      </c>
      <c r="I244" t="str">
        <f t="shared" si="6"/>
        <v>OK</v>
      </c>
      <c r="J244" t="str">
        <f t="shared" si="7"/>
        <v>Lipsă</v>
      </c>
      <c r="K244" t="str">
        <f>IF(ISNA(VLOOKUP(B244,Conturi!A:A,1,FALSE)),"Lipsă","OK")</f>
        <v>OK</v>
      </c>
      <c r="L244" t="str">
        <f>IF(ISBLANK(C244),"Retragere sau depunere",IF(ISNA(VLOOKUP(C244,Conturi!A:A,1,FALSE)),"Lipsă","OK"))</f>
        <v>Retragere sau depunere</v>
      </c>
    </row>
    <row r="245" spans="1:12">
      <c r="A245">
        <v>259</v>
      </c>
      <c r="B245">
        <v>1080</v>
      </c>
      <c r="C245">
        <v>1097</v>
      </c>
      <c r="D245">
        <v>2030.18</v>
      </c>
      <c r="E245" s="2">
        <v>44761</v>
      </c>
      <c r="F245" t="s">
        <v>357</v>
      </c>
      <c r="I245" t="str">
        <f t="shared" si="6"/>
        <v>OK</v>
      </c>
      <c r="J245" t="str">
        <f t="shared" si="7"/>
        <v>OK</v>
      </c>
      <c r="K245" t="str">
        <f>IF(ISNA(VLOOKUP(B245,Conturi!A:A,1,FALSE)),"Lipsă","OK")</f>
        <v>OK</v>
      </c>
      <c r="L245" t="str">
        <f>IF(ISBLANK(C245),"Retragere sau depunere",IF(ISNA(VLOOKUP(C245,Conturi!A:A,1,FALSE)),"Lipsă","OK"))</f>
        <v>OK</v>
      </c>
    </row>
    <row r="246" spans="1:12">
      <c r="A246">
        <v>260</v>
      </c>
      <c r="B246">
        <v>1081</v>
      </c>
      <c r="D246">
        <v>4972.16</v>
      </c>
      <c r="E246" s="2">
        <v>44777</v>
      </c>
      <c r="F246" t="s">
        <v>358</v>
      </c>
      <c r="I246" t="str">
        <f t="shared" si="6"/>
        <v>OK</v>
      </c>
      <c r="J246" t="str">
        <f t="shared" si="7"/>
        <v>Lipsă</v>
      </c>
      <c r="K246" t="str">
        <f>IF(ISNA(VLOOKUP(B246,Conturi!A:A,1,FALSE)),"Lipsă","OK")</f>
        <v>OK</v>
      </c>
      <c r="L246" t="str">
        <f>IF(ISBLANK(C246),"Retragere sau depunere",IF(ISNA(VLOOKUP(C246,Conturi!A:A,1,FALSE)),"Lipsă","OK"))</f>
        <v>Retragere sau depunere</v>
      </c>
    </row>
    <row r="247" spans="1:12">
      <c r="A247">
        <v>261</v>
      </c>
      <c r="B247">
        <v>1081</v>
      </c>
      <c r="D247">
        <v>3192.31</v>
      </c>
      <c r="E247" s="2">
        <v>44587</v>
      </c>
      <c r="F247" t="s">
        <v>356</v>
      </c>
      <c r="I247" t="str">
        <f t="shared" si="6"/>
        <v>OK</v>
      </c>
      <c r="J247" t="str">
        <f t="shared" si="7"/>
        <v>Lipsă</v>
      </c>
      <c r="K247" t="str">
        <f>IF(ISNA(VLOOKUP(B247,Conturi!A:A,1,FALSE)),"Lipsă","OK")</f>
        <v>OK</v>
      </c>
      <c r="L247" t="str">
        <f>IF(ISBLANK(C247),"Retragere sau depunere",IF(ISNA(VLOOKUP(C247,Conturi!A:A,1,FALSE)),"Lipsă","OK"))</f>
        <v>Retragere sau depunere</v>
      </c>
    </row>
    <row r="248" spans="1:12">
      <c r="A248">
        <v>262</v>
      </c>
      <c r="B248">
        <v>1082</v>
      </c>
      <c r="D248">
        <v>4030.21</v>
      </c>
      <c r="E248" s="2">
        <v>44740</v>
      </c>
      <c r="F248" t="s">
        <v>358</v>
      </c>
      <c r="I248" t="str">
        <f t="shared" si="6"/>
        <v>OK</v>
      </c>
      <c r="J248" t="str">
        <f t="shared" si="7"/>
        <v>Lipsă</v>
      </c>
      <c r="K248" t="str">
        <f>IF(ISNA(VLOOKUP(B248,Conturi!A:A,1,FALSE)),"Lipsă","OK")</f>
        <v>OK</v>
      </c>
      <c r="L248" t="str">
        <f>IF(ISBLANK(C248),"Retragere sau depunere",IF(ISNA(VLOOKUP(C248,Conturi!A:A,1,FALSE)),"Lipsă","OK"))</f>
        <v>Retragere sau depunere</v>
      </c>
    </row>
    <row r="249" spans="1:12">
      <c r="A249">
        <v>263</v>
      </c>
      <c r="B249">
        <v>1082</v>
      </c>
      <c r="D249">
        <v>2838.74</v>
      </c>
      <c r="E249" s="2">
        <v>44711</v>
      </c>
      <c r="F249" t="s">
        <v>356</v>
      </c>
      <c r="I249" t="str">
        <f t="shared" si="6"/>
        <v>OK</v>
      </c>
      <c r="J249" t="str">
        <f t="shared" si="7"/>
        <v>Lipsă</v>
      </c>
      <c r="K249" t="str">
        <f>IF(ISNA(VLOOKUP(B249,Conturi!A:A,1,FALSE)),"Lipsă","OK")</f>
        <v>OK</v>
      </c>
      <c r="L249" t="str">
        <f>IF(ISBLANK(C249),"Retragere sau depunere",IF(ISNA(VLOOKUP(C249,Conturi!A:A,1,FALSE)),"Lipsă","OK"))</f>
        <v>Retragere sau depunere</v>
      </c>
    </row>
    <row r="250" spans="1:12">
      <c r="A250">
        <v>264</v>
      </c>
      <c r="B250">
        <v>1082</v>
      </c>
      <c r="C250">
        <v>1141</v>
      </c>
      <c r="D250">
        <v>906.15</v>
      </c>
      <c r="E250" s="2">
        <v>44778</v>
      </c>
      <c r="F250" t="s">
        <v>357</v>
      </c>
      <c r="I250" t="str">
        <f t="shared" si="6"/>
        <v>OK</v>
      </c>
      <c r="J250" t="str">
        <f t="shared" si="7"/>
        <v>OK</v>
      </c>
      <c r="K250" t="str">
        <f>IF(ISNA(VLOOKUP(B250,Conturi!A:A,1,FALSE)),"Lipsă","OK")</f>
        <v>OK</v>
      </c>
      <c r="L250" t="str">
        <f>IF(ISBLANK(C250),"Retragere sau depunere",IF(ISNA(VLOOKUP(C250,Conturi!A:A,1,FALSE)),"Lipsă","OK"))</f>
        <v>OK</v>
      </c>
    </row>
    <row r="251" spans="1:12">
      <c r="A251">
        <v>265</v>
      </c>
      <c r="B251">
        <v>1082</v>
      </c>
      <c r="D251">
        <v>4707.57</v>
      </c>
      <c r="E251" s="2">
        <v>44738</v>
      </c>
      <c r="F251" t="s">
        <v>358</v>
      </c>
      <c r="I251" t="str">
        <f t="shared" si="6"/>
        <v>OK</v>
      </c>
      <c r="J251" t="str">
        <f t="shared" si="7"/>
        <v>Lipsă</v>
      </c>
      <c r="K251" t="str">
        <f>IF(ISNA(VLOOKUP(B251,Conturi!A:A,1,FALSE)),"Lipsă","OK")</f>
        <v>OK</v>
      </c>
      <c r="L251" t="str">
        <f>IF(ISBLANK(C251),"Retragere sau depunere",IF(ISNA(VLOOKUP(C251,Conturi!A:A,1,FALSE)),"Lipsă","OK"))</f>
        <v>Retragere sau depunere</v>
      </c>
    </row>
    <row r="252" spans="1:12">
      <c r="A252">
        <v>266</v>
      </c>
      <c r="B252">
        <v>1082</v>
      </c>
      <c r="D252">
        <v>2135.5500000000002</v>
      </c>
      <c r="E252" s="2">
        <v>44771</v>
      </c>
      <c r="F252" t="s">
        <v>356</v>
      </c>
      <c r="I252" t="str">
        <f t="shared" si="6"/>
        <v>OK</v>
      </c>
      <c r="J252" t="str">
        <f t="shared" si="7"/>
        <v>Lipsă</v>
      </c>
      <c r="K252" t="str">
        <f>IF(ISNA(VLOOKUP(B252,Conturi!A:A,1,FALSE)),"Lipsă","OK")</f>
        <v>OK</v>
      </c>
      <c r="L252" t="str">
        <f>IF(ISBLANK(C252),"Retragere sau depunere",IF(ISNA(VLOOKUP(C252,Conturi!A:A,1,FALSE)),"Lipsă","OK"))</f>
        <v>Retragere sau depunere</v>
      </c>
    </row>
    <row r="253" spans="1:12">
      <c r="A253">
        <v>267</v>
      </c>
      <c r="B253">
        <v>1083</v>
      </c>
      <c r="D253">
        <v>987.66</v>
      </c>
      <c r="E253" s="2">
        <v>44640</v>
      </c>
      <c r="F253" t="s">
        <v>356</v>
      </c>
      <c r="I253" t="str">
        <f t="shared" si="6"/>
        <v>OK</v>
      </c>
      <c r="J253" t="str">
        <f t="shared" si="7"/>
        <v>Lipsă</v>
      </c>
      <c r="K253" t="str">
        <f>IF(ISNA(VLOOKUP(B253,Conturi!A:A,1,FALSE)),"Lipsă","OK")</f>
        <v>OK</v>
      </c>
      <c r="L253" t="str">
        <f>IF(ISBLANK(C253),"Retragere sau depunere",IF(ISNA(VLOOKUP(C253,Conturi!A:A,1,FALSE)),"Lipsă","OK"))</f>
        <v>Retragere sau depunere</v>
      </c>
    </row>
    <row r="254" spans="1:12">
      <c r="A254">
        <v>268</v>
      </c>
      <c r="B254">
        <v>1083</v>
      </c>
      <c r="D254">
        <v>4908.12</v>
      </c>
      <c r="E254" s="2">
        <v>44579</v>
      </c>
      <c r="F254" t="s">
        <v>358</v>
      </c>
      <c r="I254" t="str">
        <f t="shared" si="6"/>
        <v>OK</v>
      </c>
      <c r="J254" t="str">
        <f t="shared" si="7"/>
        <v>Lipsă</v>
      </c>
      <c r="K254" t="str">
        <f>IF(ISNA(VLOOKUP(B254,Conturi!A:A,1,FALSE)),"Lipsă","OK")</f>
        <v>OK</v>
      </c>
      <c r="L254" t="str">
        <f>IF(ISBLANK(C254),"Retragere sau depunere",IF(ISNA(VLOOKUP(C254,Conturi!A:A,1,FALSE)),"Lipsă","OK"))</f>
        <v>Retragere sau depunere</v>
      </c>
    </row>
    <row r="255" spans="1:12">
      <c r="A255">
        <v>269</v>
      </c>
      <c r="B255">
        <v>1083</v>
      </c>
      <c r="C255">
        <v>1167</v>
      </c>
      <c r="D255">
        <v>1323.38</v>
      </c>
      <c r="E255" s="2">
        <v>44666</v>
      </c>
      <c r="F255" t="s">
        <v>357</v>
      </c>
      <c r="I255" t="str">
        <f t="shared" si="6"/>
        <v>OK</v>
      </c>
      <c r="J255" t="str">
        <f t="shared" si="7"/>
        <v>OK</v>
      </c>
      <c r="K255" t="str">
        <f>IF(ISNA(VLOOKUP(B255,Conturi!A:A,1,FALSE)),"Lipsă","OK")</f>
        <v>OK</v>
      </c>
      <c r="L255" t="str">
        <f>IF(ISBLANK(C255),"Retragere sau depunere",IF(ISNA(VLOOKUP(C255,Conturi!A:A,1,FALSE)),"Lipsă","OK"))</f>
        <v>OK</v>
      </c>
    </row>
    <row r="256" spans="1:12">
      <c r="A256">
        <v>270</v>
      </c>
      <c r="B256">
        <v>1083</v>
      </c>
      <c r="D256">
        <v>649.23</v>
      </c>
      <c r="E256" s="2">
        <v>44747</v>
      </c>
      <c r="F256" t="s">
        <v>358</v>
      </c>
      <c r="I256" t="str">
        <f t="shared" si="6"/>
        <v>OK</v>
      </c>
      <c r="J256" t="str">
        <f t="shared" si="7"/>
        <v>Lipsă</v>
      </c>
      <c r="K256" t="str">
        <f>IF(ISNA(VLOOKUP(B256,Conturi!A:A,1,FALSE)),"Lipsă","OK")</f>
        <v>OK</v>
      </c>
      <c r="L256" t="str">
        <f>IF(ISBLANK(C256),"Retragere sau depunere",IF(ISNA(VLOOKUP(C256,Conturi!A:A,1,FALSE)),"Lipsă","OK"))</f>
        <v>Retragere sau depunere</v>
      </c>
    </row>
    <row r="257" spans="1:12">
      <c r="A257">
        <v>271</v>
      </c>
      <c r="B257">
        <v>1084</v>
      </c>
      <c r="D257">
        <v>2402.79</v>
      </c>
      <c r="E257" s="2">
        <v>44814</v>
      </c>
      <c r="F257" t="s">
        <v>358</v>
      </c>
      <c r="I257" t="str">
        <f t="shared" si="6"/>
        <v>OK</v>
      </c>
      <c r="J257" t="str">
        <f t="shared" si="7"/>
        <v>Lipsă</v>
      </c>
      <c r="K257" t="str">
        <f>IF(ISNA(VLOOKUP(B257,Conturi!A:A,1,FALSE)),"Lipsă","OK")</f>
        <v>OK</v>
      </c>
      <c r="L257" t="str">
        <f>IF(ISBLANK(C257),"Retragere sau depunere",IF(ISNA(VLOOKUP(C257,Conturi!A:A,1,FALSE)),"Lipsă","OK"))</f>
        <v>Retragere sau depunere</v>
      </c>
    </row>
    <row r="258" spans="1:12">
      <c r="A258">
        <v>272</v>
      </c>
      <c r="B258">
        <v>1084</v>
      </c>
      <c r="D258">
        <v>4341.79</v>
      </c>
      <c r="E258" s="2">
        <v>44834</v>
      </c>
      <c r="F258" t="s">
        <v>358</v>
      </c>
      <c r="I258" t="str">
        <f t="shared" si="6"/>
        <v>OK</v>
      </c>
      <c r="J258" t="str">
        <f t="shared" si="7"/>
        <v>Lipsă</v>
      </c>
      <c r="K258" t="str">
        <f>IF(ISNA(VLOOKUP(B258,Conturi!A:A,1,FALSE)),"Lipsă","OK")</f>
        <v>OK</v>
      </c>
      <c r="L258" t="str">
        <f>IF(ISBLANK(C258),"Retragere sau depunere",IF(ISNA(VLOOKUP(C258,Conturi!A:A,1,FALSE)),"Lipsă","OK"))</f>
        <v>Retragere sau depunere</v>
      </c>
    </row>
    <row r="259" spans="1:12">
      <c r="A259">
        <v>273</v>
      </c>
      <c r="B259">
        <v>1084</v>
      </c>
      <c r="D259">
        <v>4030.65</v>
      </c>
      <c r="E259" s="2">
        <v>44697</v>
      </c>
      <c r="F259" t="s">
        <v>358</v>
      </c>
      <c r="I259" t="str">
        <f t="shared" ref="I259:I322" si="8">IF(D259&lt;0,"Greșit","OK")</f>
        <v>OK</v>
      </c>
      <c r="J259" t="str">
        <f t="shared" ref="J259:J322" si="9">IF(ISBLANK(C259),"Lipsă","OK")</f>
        <v>Lipsă</v>
      </c>
      <c r="K259" t="str">
        <f>IF(ISNA(VLOOKUP(B259,Conturi!A:A,1,FALSE)),"Lipsă","OK")</f>
        <v>OK</v>
      </c>
      <c r="L259" t="str">
        <f>IF(ISBLANK(C259),"Retragere sau depunere",IF(ISNA(VLOOKUP(C259,Conturi!A:A,1,FALSE)),"Lipsă","OK"))</f>
        <v>Retragere sau depunere</v>
      </c>
    </row>
    <row r="260" spans="1:12">
      <c r="A260">
        <v>274</v>
      </c>
      <c r="B260">
        <v>1084</v>
      </c>
      <c r="D260">
        <v>4078.58</v>
      </c>
      <c r="E260" s="2">
        <v>44818</v>
      </c>
      <c r="F260" t="s">
        <v>356</v>
      </c>
      <c r="I260" t="str">
        <f t="shared" si="8"/>
        <v>OK</v>
      </c>
      <c r="J260" t="str">
        <f t="shared" si="9"/>
        <v>Lipsă</v>
      </c>
      <c r="K260" t="str">
        <f>IF(ISNA(VLOOKUP(B260,Conturi!A:A,1,FALSE)),"Lipsă","OK")</f>
        <v>OK</v>
      </c>
      <c r="L260" t="str">
        <f>IF(ISBLANK(C260),"Retragere sau depunere",IF(ISNA(VLOOKUP(C260,Conturi!A:A,1,FALSE)),"Lipsă","OK"))</f>
        <v>Retragere sau depunere</v>
      </c>
    </row>
    <row r="261" spans="1:12">
      <c r="A261">
        <v>275</v>
      </c>
      <c r="B261">
        <v>1085</v>
      </c>
      <c r="C261">
        <v>1129</v>
      </c>
      <c r="D261">
        <v>1473.81</v>
      </c>
      <c r="E261" s="2">
        <v>44778</v>
      </c>
      <c r="F261" t="s">
        <v>357</v>
      </c>
      <c r="I261" t="str">
        <f t="shared" si="8"/>
        <v>OK</v>
      </c>
      <c r="J261" t="str">
        <f t="shared" si="9"/>
        <v>OK</v>
      </c>
      <c r="K261" t="str">
        <f>IF(ISNA(VLOOKUP(B261,Conturi!A:A,1,FALSE)),"Lipsă","OK")</f>
        <v>OK</v>
      </c>
      <c r="L261" t="str">
        <f>IF(ISBLANK(C261),"Retragere sau depunere",IF(ISNA(VLOOKUP(C261,Conturi!A:A,1,FALSE)),"Lipsă","OK"))</f>
        <v>OK</v>
      </c>
    </row>
    <row r="262" spans="1:12">
      <c r="A262">
        <v>276</v>
      </c>
      <c r="B262">
        <v>1085</v>
      </c>
      <c r="D262">
        <v>254.28</v>
      </c>
      <c r="E262" s="2">
        <v>44586</v>
      </c>
      <c r="F262" t="s">
        <v>356</v>
      </c>
      <c r="I262" t="str">
        <f t="shared" si="8"/>
        <v>OK</v>
      </c>
      <c r="J262" t="str">
        <f t="shared" si="9"/>
        <v>Lipsă</v>
      </c>
      <c r="K262" t="str">
        <f>IF(ISNA(VLOOKUP(B262,Conturi!A:A,1,FALSE)),"Lipsă","OK")</f>
        <v>OK</v>
      </c>
      <c r="L262" t="str">
        <f>IF(ISBLANK(C262),"Retragere sau depunere",IF(ISNA(VLOOKUP(C262,Conturi!A:A,1,FALSE)),"Lipsă","OK"))</f>
        <v>Retragere sau depunere</v>
      </c>
    </row>
    <row r="263" spans="1:12">
      <c r="A263">
        <v>277</v>
      </c>
      <c r="B263">
        <v>1085</v>
      </c>
      <c r="D263">
        <v>4586.99</v>
      </c>
      <c r="E263" s="2">
        <v>44675</v>
      </c>
      <c r="F263" t="s">
        <v>358</v>
      </c>
      <c r="I263" t="str">
        <f t="shared" si="8"/>
        <v>OK</v>
      </c>
      <c r="J263" t="str">
        <f t="shared" si="9"/>
        <v>Lipsă</v>
      </c>
      <c r="K263" t="str">
        <f>IF(ISNA(VLOOKUP(B263,Conturi!A:A,1,FALSE)),"Lipsă","OK")</f>
        <v>OK</v>
      </c>
      <c r="L263" t="str">
        <f>IF(ISBLANK(C263),"Retragere sau depunere",IF(ISNA(VLOOKUP(C263,Conturi!A:A,1,FALSE)),"Lipsă","OK"))</f>
        <v>Retragere sau depunere</v>
      </c>
    </row>
    <row r="264" spans="1:12">
      <c r="A264">
        <v>278</v>
      </c>
      <c r="B264">
        <v>1085</v>
      </c>
      <c r="D264">
        <v>3882.83</v>
      </c>
      <c r="E264" s="2">
        <v>44596</v>
      </c>
      <c r="F264" t="s">
        <v>358</v>
      </c>
      <c r="I264" t="str">
        <f t="shared" si="8"/>
        <v>OK</v>
      </c>
      <c r="J264" t="str">
        <f t="shared" si="9"/>
        <v>Lipsă</v>
      </c>
      <c r="K264" t="str">
        <f>IF(ISNA(VLOOKUP(B264,Conturi!A:A,1,FALSE)),"Lipsă","OK")</f>
        <v>OK</v>
      </c>
      <c r="L264" t="str">
        <f>IF(ISBLANK(C264),"Retragere sau depunere",IF(ISNA(VLOOKUP(C264,Conturi!A:A,1,FALSE)),"Lipsă","OK"))</f>
        <v>Retragere sau depunere</v>
      </c>
    </row>
    <row r="265" spans="1:12">
      <c r="A265">
        <v>279</v>
      </c>
      <c r="B265">
        <v>1086</v>
      </c>
      <c r="C265">
        <v>1107</v>
      </c>
      <c r="D265">
        <v>3562.46</v>
      </c>
      <c r="E265" s="2">
        <v>44582</v>
      </c>
      <c r="F265" t="s">
        <v>357</v>
      </c>
      <c r="I265" t="str">
        <f t="shared" si="8"/>
        <v>OK</v>
      </c>
      <c r="J265" t="str">
        <f t="shared" si="9"/>
        <v>OK</v>
      </c>
      <c r="K265" t="str">
        <f>IF(ISNA(VLOOKUP(B265,Conturi!A:A,1,FALSE)),"Lipsă","OK")</f>
        <v>OK</v>
      </c>
      <c r="L265" t="str">
        <f>IF(ISBLANK(C265),"Retragere sau depunere",IF(ISNA(VLOOKUP(C265,Conturi!A:A,1,FALSE)),"Lipsă","OK"))</f>
        <v>OK</v>
      </c>
    </row>
    <row r="266" spans="1:12">
      <c r="A266">
        <v>280</v>
      </c>
      <c r="B266">
        <v>1086</v>
      </c>
      <c r="C266">
        <v>1005</v>
      </c>
      <c r="D266">
        <v>2435.5500000000002</v>
      </c>
      <c r="E266" s="2">
        <v>44734</v>
      </c>
      <c r="F266" t="s">
        <v>357</v>
      </c>
      <c r="I266" t="str">
        <f t="shared" si="8"/>
        <v>OK</v>
      </c>
      <c r="J266" t="str">
        <f t="shared" si="9"/>
        <v>OK</v>
      </c>
      <c r="K266" t="str">
        <f>IF(ISNA(VLOOKUP(B266,Conturi!A:A,1,FALSE)),"Lipsă","OK")</f>
        <v>OK</v>
      </c>
      <c r="L266" t="str">
        <f>IF(ISBLANK(C266),"Retragere sau depunere",IF(ISNA(VLOOKUP(C266,Conturi!A:A,1,FALSE)),"Lipsă","OK"))</f>
        <v>OK</v>
      </c>
    </row>
    <row r="267" spans="1:12">
      <c r="A267">
        <v>281</v>
      </c>
      <c r="B267">
        <v>1087</v>
      </c>
      <c r="D267">
        <v>173.11</v>
      </c>
      <c r="E267" s="2">
        <v>44749</v>
      </c>
      <c r="F267" t="s">
        <v>358</v>
      </c>
      <c r="I267" t="str">
        <f t="shared" si="8"/>
        <v>OK</v>
      </c>
      <c r="J267" t="str">
        <f t="shared" si="9"/>
        <v>Lipsă</v>
      </c>
      <c r="K267" t="str">
        <f>IF(ISNA(VLOOKUP(B267,Conturi!A:A,1,FALSE)),"Lipsă","OK")</f>
        <v>OK</v>
      </c>
      <c r="L267" t="str">
        <f>IF(ISBLANK(C267),"Retragere sau depunere",IF(ISNA(VLOOKUP(C267,Conturi!A:A,1,FALSE)),"Lipsă","OK"))</f>
        <v>Retragere sau depunere</v>
      </c>
    </row>
    <row r="268" spans="1:12">
      <c r="A268">
        <v>282</v>
      </c>
      <c r="B268">
        <v>1087</v>
      </c>
      <c r="D268">
        <v>2973.03</v>
      </c>
      <c r="E268" s="2">
        <v>44613</v>
      </c>
      <c r="F268" t="s">
        <v>356</v>
      </c>
      <c r="I268" t="str">
        <f t="shared" si="8"/>
        <v>OK</v>
      </c>
      <c r="J268" t="str">
        <f t="shared" si="9"/>
        <v>Lipsă</v>
      </c>
      <c r="K268" t="str">
        <f>IF(ISNA(VLOOKUP(B268,Conturi!A:A,1,FALSE)),"Lipsă","OK")</f>
        <v>OK</v>
      </c>
      <c r="L268" t="str">
        <f>IF(ISBLANK(C268),"Retragere sau depunere",IF(ISNA(VLOOKUP(C268,Conturi!A:A,1,FALSE)),"Lipsă","OK"))</f>
        <v>Retragere sau depunere</v>
      </c>
    </row>
    <row r="269" spans="1:12">
      <c r="A269">
        <v>283</v>
      </c>
      <c r="B269">
        <v>1087</v>
      </c>
      <c r="D269">
        <v>2505.6799999999998</v>
      </c>
      <c r="E269" s="2">
        <v>44774</v>
      </c>
      <c r="F269" t="s">
        <v>358</v>
      </c>
      <c r="I269" t="str">
        <f t="shared" si="8"/>
        <v>OK</v>
      </c>
      <c r="J269" t="str">
        <f t="shared" si="9"/>
        <v>Lipsă</v>
      </c>
      <c r="K269" t="str">
        <f>IF(ISNA(VLOOKUP(B269,Conturi!A:A,1,FALSE)),"Lipsă","OK")</f>
        <v>OK</v>
      </c>
      <c r="L269" t="str">
        <f>IF(ISBLANK(C269),"Retragere sau depunere",IF(ISNA(VLOOKUP(C269,Conturi!A:A,1,FALSE)),"Lipsă","OK"))</f>
        <v>Retragere sau depunere</v>
      </c>
    </row>
    <row r="270" spans="1:12">
      <c r="A270">
        <v>284</v>
      </c>
      <c r="B270">
        <v>1087</v>
      </c>
      <c r="D270">
        <v>2635.89</v>
      </c>
      <c r="E270" s="2">
        <v>44874</v>
      </c>
      <c r="F270" t="s">
        <v>356</v>
      </c>
      <c r="I270" t="str">
        <f t="shared" si="8"/>
        <v>OK</v>
      </c>
      <c r="J270" t="str">
        <f t="shared" si="9"/>
        <v>Lipsă</v>
      </c>
      <c r="K270" t="str">
        <f>IF(ISNA(VLOOKUP(B270,Conturi!A:A,1,FALSE)),"Lipsă","OK")</f>
        <v>OK</v>
      </c>
      <c r="L270" t="str">
        <f>IF(ISBLANK(C270),"Retragere sau depunere",IF(ISNA(VLOOKUP(C270,Conturi!A:A,1,FALSE)),"Lipsă","OK"))</f>
        <v>Retragere sau depunere</v>
      </c>
    </row>
    <row r="271" spans="1:12">
      <c r="A271">
        <v>285</v>
      </c>
      <c r="B271">
        <v>1088</v>
      </c>
      <c r="C271">
        <v>1072</v>
      </c>
      <c r="D271">
        <v>1926.4</v>
      </c>
      <c r="E271" s="2">
        <v>44797</v>
      </c>
      <c r="F271" t="s">
        <v>357</v>
      </c>
      <c r="I271" t="str">
        <f t="shared" si="8"/>
        <v>OK</v>
      </c>
      <c r="J271" t="str">
        <f t="shared" si="9"/>
        <v>OK</v>
      </c>
      <c r="K271" t="str">
        <f>IF(ISNA(VLOOKUP(B271,Conturi!A:A,1,FALSE)),"Lipsă","OK")</f>
        <v>OK</v>
      </c>
      <c r="L271" t="str">
        <f>IF(ISBLANK(C271),"Retragere sau depunere",IF(ISNA(VLOOKUP(C271,Conturi!A:A,1,FALSE)),"Lipsă","OK"))</f>
        <v>OK</v>
      </c>
    </row>
    <row r="272" spans="1:12">
      <c r="A272">
        <v>286</v>
      </c>
      <c r="B272">
        <v>1088</v>
      </c>
      <c r="D272">
        <v>964.81</v>
      </c>
      <c r="E272" s="2">
        <v>44569</v>
      </c>
      <c r="F272" t="s">
        <v>358</v>
      </c>
      <c r="I272" t="str">
        <f t="shared" si="8"/>
        <v>OK</v>
      </c>
      <c r="J272" t="str">
        <f t="shared" si="9"/>
        <v>Lipsă</v>
      </c>
      <c r="K272" t="str">
        <f>IF(ISNA(VLOOKUP(B272,Conturi!A:A,1,FALSE)),"Lipsă","OK")</f>
        <v>OK</v>
      </c>
      <c r="L272" t="str">
        <f>IF(ISBLANK(C272),"Retragere sau depunere",IF(ISNA(VLOOKUP(C272,Conturi!A:A,1,FALSE)),"Lipsă","OK"))</f>
        <v>Retragere sau depunere</v>
      </c>
    </row>
    <row r="273" spans="1:12">
      <c r="A273">
        <v>287</v>
      </c>
      <c r="B273">
        <v>1089</v>
      </c>
      <c r="D273">
        <v>2132.4499999999998</v>
      </c>
      <c r="E273" s="2">
        <v>44772</v>
      </c>
      <c r="F273" t="s">
        <v>358</v>
      </c>
      <c r="I273" t="str">
        <f t="shared" si="8"/>
        <v>OK</v>
      </c>
      <c r="J273" t="str">
        <f t="shared" si="9"/>
        <v>Lipsă</v>
      </c>
      <c r="K273" t="str">
        <f>IF(ISNA(VLOOKUP(B273,Conturi!A:A,1,FALSE)),"Lipsă","OK")</f>
        <v>OK</v>
      </c>
      <c r="L273" t="str">
        <f>IF(ISBLANK(C273),"Retragere sau depunere",IF(ISNA(VLOOKUP(C273,Conturi!A:A,1,FALSE)),"Lipsă","OK"))</f>
        <v>Retragere sau depunere</v>
      </c>
    </row>
    <row r="274" spans="1:12">
      <c r="A274">
        <v>288</v>
      </c>
      <c r="B274">
        <v>1089</v>
      </c>
      <c r="D274">
        <v>935.94</v>
      </c>
      <c r="E274" s="2">
        <v>44650</v>
      </c>
      <c r="F274" t="s">
        <v>358</v>
      </c>
      <c r="I274" t="str">
        <f t="shared" si="8"/>
        <v>OK</v>
      </c>
      <c r="J274" t="str">
        <f t="shared" si="9"/>
        <v>Lipsă</v>
      </c>
      <c r="K274" t="str">
        <f>IF(ISNA(VLOOKUP(B274,Conturi!A:A,1,FALSE)),"Lipsă","OK")</f>
        <v>OK</v>
      </c>
      <c r="L274" t="str">
        <f>IF(ISBLANK(C274),"Retragere sau depunere",IF(ISNA(VLOOKUP(C274,Conturi!A:A,1,FALSE)),"Lipsă","OK"))</f>
        <v>Retragere sau depunere</v>
      </c>
    </row>
    <row r="275" spans="1:12">
      <c r="A275">
        <v>289</v>
      </c>
      <c r="B275">
        <v>1089</v>
      </c>
      <c r="D275">
        <v>1345.6</v>
      </c>
      <c r="E275" s="2">
        <v>44634</v>
      </c>
      <c r="F275" t="s">
        <v>356</v>
      </c>
      <c r="I275" t="str">
        <f t="shared" si="8"/>
        <v>OK</v>
      </c>
      <c r="J275" t="str">
        <f t="shared" si="9"/>
        <v>Lipsă</v>
      </c>
      <c r="K275" t="str">
        <f>IF(ISNA(VLOOKUP(B275,Conturi!A:A,1,FALSE)),"Lipsă","OK")</f>
        <v>OK</v>
      </c>
      <c r="L275" t="str">
        <f>IF(ISBLANK(C275),"Retragere sau depunere",IF(ISNA(VLOOKUP(C275,Conturi!A:A,1,FALSE)),"Lipsă","OK"))</f>
        <v>Retragere sau depunere</v>
      </c>
    </row>
    <row r="276" spans="1:12">
      <c r="A276">
        <v>290</v>
      </c>
      <c r="B276">
        <v>1089</v>
      </c>
      <c r="C276">
        <v>1127</v>
      </c>
      <c r="D276">
        <v>2843.27</v>
      </c>
      <c r="E276" s="2">
        <v>44625</v>
      </c>
      <c r="F276" t="s">
        <v>357</v>
      </c>
      <c r="I276" t="str">
        <f t="shared" si="8"/>
        <v>OK</v>
      </c>
      <c r="J276" t="str">
        <f t="shared" si="9"/>
        <v>OK</v>
      </c>
      <c r="K276" t="str">
        <f>IF(ISNA(VLOOKUP(B276,Conturi!A:A,1,FALSE)),"Lipsă","OK")</f>
        <v>OK</v>
      </c>
      <c r="L276" t="str">
        <f>IF(ISBLANK(C276),"Retragere sau depunere",IF(ISNA(VLOOKUP(C276,Conturi!A:A,1,FALSE)),"Lipsă","OK"))</f>
        <v>OK</v>
      </c>
    </row>
    <row r="277" spans="1:12">
      <c r="A277">
        <v>291</v>
      </c>
      <c r="B277">
        <v>1090</v>
      </c>
      <c r="D277">
        <v>4723.49</v>
      </c>
      <c r="E277" s="2">
        <v>44652</v>
      </c>
      <c r="F277" t="s">
        <v>356</v>
      </c>
      <c r="I277" t="str">
        <f t="shared" si="8"/>
        <v>OK</v>
      </c>
      <c r="J277" t="str">
        <f t="shared" si="9"/>
        <v>Lipsă</v>
      </c>
      <c r="K277" t="str">
        <f>IF(ISNA(VLOOKUP(B277,Conturi!A:A,1,FALSE)),"Lipsă","OK")</f>
        <v>OK</v>
      </c>
      <c r="L277" t="str">
        <f>IF(ISBLANK(C277),"Retragere sau depunere",IF(ISNA(VLOOKUP(C277,Conturi!A:A,1,FALSE)),"Lipsă","OK"))</f>
        <v>Retragere sau depunere</v>
      </c>
    </row>
    <row r="278" spans="1:12">
      <c r="A278">
        <v>292</v>
      </c>
      <c r="B278">
        <v>1090</v>
      </c>
      <c r="D278">
        <v>3430.09</v>
      </c>
      <c r="E278" s="2">
        <v>44835</v>
      </c>
      <c r="F278" t="s">
        <v>358</v>
      </c>
      <c r="I278" t="str">
        <f t="shared" si="8"/>
        <v>OK</v>
      </c>
      <c r="J278" t="str">
        <f t="shared" si="9"/>
        <v>Lipsă</v>
      </c>
      <c r="K278" t="str">
        <f>IF(ISNA(VLOOKUP(B278,Conturi!A:A,1,FALSE)),"Lipsă","OK")</f>
        <v>OK</v>
      </c>
      <c r="L278" t="str">
        <f>IF(ISBLANK(C278),"Retragere sau depunere",IF(ISNA(VLOOKUP(C278,Conturi!A:A,1,FALSE)),"Lipsă","OK"))</f>
        <v>Retragere sau depunere</v>
      </c>
    </row>
    <row r="279" spans="1:12">
      <c r="A279">
        <v>293</v>
      </c>
      <c r="B279">
        <v>1090</v>
      </c>
      <c r="C279">
        <v>1068</v>
      </c>
      <c r="D279">
        <v>3000.64</v>
      </c>
      <c r="E279" s="2">
        <v>44882</v>
      </c>
      <c r="F279" t="s">
        <v>357</v>
      </c>
      <c r="I279" t="str">
        <f t="shared" si="8"/>
        <v>OK</v>
      </c>
      <c r="J279" t="str">
        <f t="shared" si="9"/>
        <v>OK</v>
      </c>
      <c r="K279" t="str">
        <f>IF(ISNA(VLOOKUP(B279,Conturi!A:A,1,FALSE)),"Lipsă","OK")</f>
        <v>OK</v>
      </c>
      <c r="L279" t="str">
        <f>IF(ISBLANK(C279),"Retragere sau depunere",IF(ISNA(VLOOKUP(C279,Conturi!A:A,1,FALSE)),"Lipsă","OK"))</f>
        <v>OK</v>
      </c>
    </row>
    <row r="280" spans="1:12">
      <c r="A280">
        <v>294</v>
      </c>
      <c r="B280">
        <v>1090</v>
      </c>
      <c r="D280">
        <v>4010.98</v>
      </c>
      <c r="E280" s="2">
        <v>44774</v>
      </c>
      <c r="F280" t="s">
        <v>356</v>
      </c>
      <c r="I280" t="str">
        <f t="shared" si="8"/>
        <v>OK</v>
      </c>
      <c r="J280" t="str">
        <f t="shared" si="9"/>
        <v>Lipsă</v>
      </c>
      <c r="K280" t="str">
        <f>IF(ISNA(VLOOKUP(B280,Conturi!A:A,1,FALSE)),"Lipsă","OK")</f>
        <v>OK</v>
      </c>
      <c r="L280" t="str">
        <f>IF(ISBLANK(C280),"Retragere sau depunere",IF(ISNA(VLOOKUP(C280,Conturi!A:A,1,FALSE)),"Lipsă","OK"))</f>
        <v>Retragere sau depunere</v>
      </c>
    </row>
    <row r="281" spans="1:12">
      <c r="A281">
        <v>295</v>
      </c>
      <c r="B281">
        <v>1090</v>
      </c>
      <c r="C281">
        <v>1032</v>
      </c>
      <c r="D281">
        <v>2432.42</v>
      </c>
      <c r="E281" s="2">
        <v>44833</v>
      </c>
      <c r="F281" t="s">
        <v>357</v>
      </c>
      <c r="I281" t="str">
        <f t="shared" si="8"/>
        <v>OK</v>
      </c>
      <c r="J281" t="str">
        <f t="shared" si="9"/>
        <v>OK</v>
      </c>
      <c r="K281" t="str">
        <f>IF(ISNA(VLOOKUP(B281,Conturi!A:A,1,FALSE)),"Lipsă","OK")</f>
        <v>OK</v>
      </c>
      <c r="L281" t="str">
        <f>IF(ISBLANK(C281),"Retragere sau depunere",IF(ISNA(VLOOKUP(C281,Conturi!A:A,1,FALSE)),"Lipsă","OK"))</f>
        <v>OK</v>
      </c>
    </row>
    <row r="282" spans="1:12">
      <c r="A282">
        <v>296</v>
      </c>
      <c r="B282">
        <v>1091</v>
      </c>
      <c r="C282">
        <v>1021</v>
      </c>
      <c r="D282">
        <v>4712.96</v>
      </c>
      <c r="E282" s="2">
        <v>44698</v>
      </c>
      <c r="F282" t="s">
        <v>357</v>
      </c>
      <c r="I282" t="str">
        <f t="shared" si="8"/>
        <v>OK</v>
      </c>
      <c r="J282" t="str">
        <f t="shared" si="9"/>
        <v>OK</v>
      </c>
      <c r="K282" t="str">
        <f>IF(ISNA(VLOOKUP(B282,Conturi!A:A,1,FALSE)),"Lipsă","OK")</f>
        <v>OK</v>
      </c>
      <c r="L282" t="str">
        <f>IF(ISBLANK(C282),"Retragere sau depunere",IF(ISNA(VLOOKUP(C282,Conturi!A:A,1,FALSE)),"Lipsă","OK"))</f>
        <v>OK</v>
      </c>
    </row>
    <row r="283" spans="1:12">
      <c r="A283">
        <v>297</v>
      </c>
      <c r="B283">
        <v>1091</v>
      </c>
      <c r="C283">
        <v>1069</v>
      </c>
      <c r="D283">
        <v>2929.49</v>
      </c>
      <c r="E283" s="2">
        <v>44833</v>
      </c>
      <c r="F283" t="s">
        <v>357</v>
      </c>
      <c r="I283" t="str">
        <f t="shared" si="8"/>
        <v>OK</v>
      </c>
      <c r="J283" t="str">
        <f t="shared" si="9"/>
        <v>OK</v>
      </c>
      <c r="K283" t="str">
        <f>IF(ISNA(VLOOKUP(B283,Conturi!A:A,1,FALSE)),"Lipsă","OK")</f>
        <v>OK</v>
      </c>
      <c r="L283" t="str">
        <f>IF(ISBLANK(C283),"Retragere sau depunere",IF(ISNA(VLOOKUP(C283,Conturi!A:A,1,FALSE)),"Lipsă","OK"))</f>
        <v>OK</v>
      </c>
    </row>
    <row r="284" spans="1:12">
      <c r="A284">
        <v>298</v>
      </c>
      <c r="B284">
        <v>1091</v>
      </c>
      <c r="D284">
        <v>1325.77</v>
      </c>
      <c r="E284" s="2">
        <v>44690</v>
      </c>
      <c r="F284" t="s">
        <v>356</v>
      </c>
      <c r="I284" t="str">
        <f t="shared" si="8"/>
        <v>OK</v>
      </c>
      <c r="J284" t="str">
        <f t="shared" si="9"/>
        <v>Lipsă</v>
      </c>
      <c r="K284" t="str">
        <f>IF(ISNA(VLOOKUP(B284,Conturi!A:A,1,FALSE)),"Lipsă","OK")</f>
        <v>OK</v>
      </c>
      <c r="L284" t="str">
        <f>IF(ISBLANK(C284),"Retragere sau depunere",IF(ISNA(VLOOKUP(C284,Conturi!A:A,1,FALSE)),"Lipsă","OK"))</f>
        <v>Retragere sau depunere</v>
      </c>
    </row>
    <row r="285" spans="1:12">
      <c r="A285">
        <v>299</v>
      </c>
      <c r="B285">
        <v>1092</v>
      </c>
      <c r="D285">
        <v>340.54</v>
      </c>
      <c r="E285" s="2">
        <v>44779</v>
      </c>
      <c r="F285" t="s">
        <v>358</v>
      </c>
      <c r="I285" t="str">
        <f t="shared" si="8"/>
        <v>OK</v>
      </c>
      <c r="J285" t="str">
        <f t="shared" si="9"/>
        <v>Lipsă</v>
      </c>
      <c r="K285" t="str">
        <f>IF(ISNA(VLOOKUP(B285,Conturi!A:A,1,FALSE)),"Lipsă","OK")</f>
        <v>OK</v>
      </c>
      <c r="L285" t="str">
        <f>IF(ISBLANK(C285),"Retragere sau depunere",IF(ISNA(VLOOKUP(C285,Conturi!A:A,1,FALSE)),"Lipsă","OK"))</f>
        <v>Retragere sau depunere</v>
      </c>
    </row>
    <row r="286" spans="1:12">
      <c r="A286">
        <v>300</v>
      </c>
      <c r="B286">
        <v>1092</v>
      </c>
      <c r="D286">
        <v>869.08</v>
      </c>
      <c r="E286" s="2">
        <v>44869</v>
      </c>
      <c r="F286" t="s">
        <v>356</v>
      </c>
      <c r="I286" t="str">
        <f t="shared" si="8"/>
        <v>OK</v>
      </c>
      <c r="J286" t="str">
        <f t="shared" si="9"/>
        <v>Lipsă</v>
      </c>
      <c r="K286" t="str">
        <f>IF(ISNA(VLOOKUP(B286,Conturi!A:A,1,FALSE)),"Lipsă","OK")</f>
        <v>OK</v>
      </c>
      <c r="L286" t="str">
        <f>IF(ISBLANK(C286),"Retragere sau depunere",IF(ISNA(VLOOKUP(C286,Conturi!A:A,1,FALSE)),"Lipsă","OK"))</f>
        <v>Retragere sau depunere</v>
      </c>
    </row>
    <row r="287" spans="1:12">
      <c r="A287">
        <v>301</v>
      </c>
      <c r="B287">
        <v>1093</v>
      </c>
      <c r="D287">
        <v>4721.62</v>
      </c>
      <c r="E287" s="2">
        <v>44876</v>
      </c>
      <c r="F287" t="s">
        <v>358</v>
      </c>
      <c r="I287" t="str">
        <f t="shared" si="8"/>
        <v>OK</v>
      </c>
      <c r="J287" t="str">
        <f t="shared" si="9"/>
        <v>Lipsă</v>
      </c>
      <c r="K287" t="str">
        <f>IF(ISNA(VLOOKUP(B287,Conturi!A:A,1,FALSE)),"Lipsă","OK")</f>
        <v>OK</v>
      </c>
      <c r="L287" t="str">
        <f>IF(ISBLANK(C287),"Retragere sau depunere",IF(ISNA(VLOOKUP(C287,Conturi!A:A,1,FALSE)),"Lipsă","OK"))</f>
        <v>Retragere sau depunere</v>
      </c>
    </row>
    <row r="288" spans="1:12">
      <c r="A288">
        <v>302</v>
      </c>
      <c r="B288">
        <v>1093</v>
      </c>
      <c r="C288">
        <v>1100</v>
      </c>
      <c r="D288">
        <v>2612.12</v>
      </c>
      <c r="E288" s="2">
        <v>44720</v>
      </c>
      <c r="F288" t="s">
        <v>357</v>
      </c>
      <c r="I288" t="str">
        <f t="shared" si="8"/>
        <v>OK</v>
      </c>
      <c r="J288" t="str">
        <f t="shared" si="9"/>
        <v>OK</v>
      </c>
      <c r="K288" t="str">
        <f>IF(ISNA(VLOOKUP(B288,Conturi!A:A,1,FALSE)),"Lipsă","OK")</f>
        <v>OK</v>
      </c>
      <c r="L288" t="str">
        <f>IF(ISBLANK(C288),"Retragere sau depunere",IF(ISNA(VLOOKUP(C288,Conturi!A:A,1,FALSE)),"Lipsă","OK"))</f>
        <v>OK</v>
      </c>
    </row>
    <row r="289" spans="1:12">
      <c r="A289">
        <v>303</v>
      </c>
      <c r="B289">
        <v>1094</v>
      </c>
      <c r="D289">
        <v>3269.07</v>
      </c>
      <c r="E289" s="2">
        <v>44918</v>
      </c>
      <c r="F289" t="s">
        <v>358</v>
      </c>
      <c r="I289" t="str">
        <f t="shared" si="8"/>
        <v>OK</v>
      </c>
      <c r="J289" t="str">
        <f t="shared" si="9"/>
        <v>Lipsă</v>
      </c>
      <c r="K289" t="str">
        <f>IF(ISNA(VLOOKUP(B289,Conturi!A:A,1,FALSE)),"Lipsă","OK")</f>
        <v>OK</v>
      </c>
      <c r="L289" t="str">
        <f>IF(ISBLANK(C289),"Retragere sau depunere",IF(ISNA(VLOOKUP(C289,Conturi!A:A,1,FALSE)),"Lipsă","OK"))</f>
        <v>Retragere sau depunere</v>
      </c>
    </row>
    <row r="290" spans="1:12">
      <c r="A290">
        <v>304</v>
      </c>
      <c r="B290">
        <v>1095</v>
      </c>
      <c r="D290">
        <v>1675.92</v>
      </c>
      <c r="E290" s="2">
        <v>44642</v>
      </c>
      <c r="F290" t="s">
        <v>358</v>
      </c>
      <c r="I290" t="str">
        <f t="shared" si="8"/>
        <v>OK</v>
      </c>
      <c r="J290" t="str">
        <f t="shared" si="9"/>
        <v>Lipsă</v>
      </c>
      <c r="K290" t="str">
        <f>IF(ISNA(VLOOKUP(B290,Conturi!A:A,1,FALSE)),"Lipsă","OK")</f>
        <v>OK</v>
      </c>
      <c r="L290" t="str">
        <f>IF(ISBLANK(C290),"Retragere sau depunere",IF(ISNA(VLOOKUP(C290,Conturi!A:A,1,FALSE)),"Lipsă","OK"))</f>
        <v>Retragere sau depunere</v>
      </c>
    </row>
    <row r="291" spans="1:12">
      <c r="A291">
        <v>305</v>
      </c>
      <c r="B291">
        <v>1095</v>
      </c>
      <c r="D291">
        <v>2012.78</v>
      </c>
      <c r="E291" s="2">
        <v>44825</v>
      </c>
      <c r="F291" t="s">
        <v>358</v>
      </c>
      <c r="I291" t="str">
        <f t="shared" si="8"/>
        <v>OK</v>
      </c>
      <c r="J291" t="str">
        <f t="shared" si="9"/>
        <v>Lipsă</v>
      </c>
      <c r="K291" t="str">
        <f>IF(ISNA(VLOOKUP(B291,Conturi!A:A,1,FALSE)),"Lipsă","OK")</f>
        <v>OK</v>
      </c>
      <c r="L291" t="str">
        <f>IF(ISBLANK(C291),"Retragere sau depunere",IF(ISNA(VLOOKUP(C291,Conturi!A:A,1,FALSE)),"Lipsă","OK"))</f>
        <v>Retragere sau depunere</v>
      </c>
    </row>
    <row r="292" spans="1:12">
      <c r="A292">
        <v>306</v>
      </c>
      <c r="B292">
        <v>1096</v>
      </c>
      <c r="D292">
        <v>1589.58</v>
      </c>
      <c r="E292" s="2">
        <v>44587</v>
      </c>
      <c r="F292" t="s">
        <v>358</v>
      </c>
      <c r="I292" t="str">
        <f t="shared" si="8"/>
        <v>OK</v>
      </c>
      <c r="J292" t="str">
        <f t="shared" si="9"/>
        <v>Lipsă</v>
      </c>
      <c r="K292" t="str">
        <f>IF(ISNA(VLOOKUP(B292,Conturi!A:A,1,FALSE)),"Lipsă","OK")</f>
        <v>OK</v>
      </c>
      <c r="L292" t="str">
        <f>IF(ISBLANK(C292),"Retragere sau depunere",IF(ISNA(VLOOKUP(C292,Conturi!A:A,1,FALSE)),"Lipsă","OK"))</f>
        <v>Retragere sau depunere</v>
      </c>
    </row>
    <row r="293" spans="1:12">
      <c r="A293">
        <v>307</v>
      </c>
      <c r="B293">
        <v>1096</v>
      </c>
      <c r="C293">
        <v>1039</v>
      </c>
      <c r="D293">
        <v>4915.91</v>
      </c>
      <c r="E293" s="2">
        <v>44803</v>
      </c>
      <c r="F293" t="s">
        <v>357</v>
      </c>
      <c r="I293" t="str">
        <f t="shared" si="8"/>
        <v>OK</v>
      </c>
      <c r="J293" t="str">
        <f t="shared" si="9"/>
        <v>OK</v>
      </c>
      <c r="K293" t="str">
        <f>IF(ISNA(VLOOKUP(B293,Conturi!A:A,1,FALSE)),"Lipsă","OK")</f>
        <v>OK</v>
      </c>
      <c r="L293" t="str">
        <f>IF(ISBLANK(C293),"Retragere sau depunere",IF(ISNA(VLOOKUP(C293,Conturi!A:A,1,FALSE)),"Lipsă","OK"))</f>
        <v>OK</v>
      </c>
    </row>
    <row r="294" spans="1:12">
      <c r="A294">
        <v>308</v>
      </c>
      <c r="B294">
        <v>1096</v>
      </c>
      <c r="D294">
        <v>2094.16</v>
      </c>
      <c r="E294" s="2">
        <v>44861</v>
      </c>
      <c r="F294" t="s">
        <v>356</v>
      </c>
      <c r="I294" t="str">
        <f t="shared" si="8"/>
        <v>OK</v>
      </c>
      <c r="J294" t="str">
        <f t="shared" si="9"/>
        <v>Lipsă</v>
      </c>
      <c r="K294" t="str">
        <f>IF(ISNA(VLOOKUP(B294,Conturi!A:A,1,FALSE)),"Lipsă","OK")</f>
        <v>OK</v>
      </c>
      <c r="L294" t="str">
        <f>IF(ISBLANK(C294),"Retragere sau depunere",IF(ISNA(VLOOKUP(C294,Conturi!A:A,1,FALSE)),"Lipsă","OK"))</f>
        <v>Retragere sau depunere</v>
      </c>
    </row>
    <row r="295" spans="1:12">
      <c r="A295">
        <v>309</v>
      </c>
      <c r="B295">
        <v>1096</v>
      </c>
      <c r="C295">
        <v>1194</v>
      </c>
      <c r="D295">
        <v>775.99</v>
      </c>
      <c r="E295" s="2">
        <v>44924</v>
      </c>
      <c r="F295" t="s">
        <v>357</v>
      </c>
      <c r="I295" t="str">
        <f t="shared" si="8"/>
        <v>OK</v>
      </c>
      <c r="J295" t="str">
        <f t="shared" si="9"/>
        <v>OK</v>
      </c>
      <c r="K295" t="str">
        <f>IF(ISNA(VLOOKUP(B295,Conturi!A:A,1,FALSE)),"Lipsă","OK")</f>
        <v>OK</v>
      </c>
      <c r="L295" t="str">
        <f>IF(ISBLANK(C295),"Retragere sau depunere",IF(ISNA(VLOOKUP(C295,Conturi!A:A,1,FALSE)),"Lipsă","OK"))</f>
        <v>OK</v>
      </c>
    </row>
    <row r="296" spans="1:12">
      <c r="A296">
        <v>310</v>
      </c>
      <c r="B296">
        <v>1097</v>
      </c>
      <c r="C296">
        <v>1096</v>
      </c>
      <c r="D296">
        <v>1895.22</v>
      </c>
      <c r="E296" s="2">
        <v>44762</v>
      </c>
      <c r="F296" t="s">
        <v>357</v>
      </c>
      <c r="I296" t="str">
        <f t="shared" si="8"/>
        <v>OK</v>
      </c>
      <c r="J296" t="str">
        <f t="shared" si="9"/>
        <v>OK</v>
      </c>
      <c r="K296" t="str">
        <f>IF(ISNA(VLOOKUP(B296,Conturi!A:A,1,FALSE)),"Lipsă","OK")</f>
        <v>OK</v>
      </c>
      <c r="L296" t="str">
        <f>IF(ISBLANK(C296),"Retragere sau depunere",IF(ISNA(VLOOKUP(C296,Conturi!A:A,1,FALSE)),"Lipsă","OK"))</f>
        <v>OK</v>
      </c>
    </row>
    <row r="297" spans="1:12">
      <c r="A297">
        <v>311</v>
      </c>
      <c r="B297">
        <v>1097</v>
      </c>
      <c r="D297">
        <v>1693.96</v>
      </c>
      <c r="E297" s="2">
        <v>44715</v>
      </c>
      <c r="F297" t="s">
        <v>356</v>
      </c>
      <c r="I297" t="str">
        <f t="shared" si="8"/>
        <v>OK</v>
      </c>
      <c r="J297" t="str">
        <f t="shared" si="9"/>
        <v>Lipsă</v>
      </c>
      <c r="K297" t="str">
        <f>IF(ISNA(VLOOKUP(B297,Conturi!A:A,1,FALSE)),"Lipsă","OK")</f>
        <v>OK</v>
      </c>
      <c r="L297" t="str">
        <f>IF(ISBLANK(C297),"Retragere sau depunere",IF(ISNA(VLOOKUP(C297,Conturi!A:A,1,FALSE)),"Lipsă","OK"))</f>
        <v>Retragere sau depunere</v>
      </c>
    </row>
    <row r="298" spans="1:12">
      <c r="A298">
        <v>312</v>
      </c>
      <c r="B298">
        <v>1097</v>
      </c>
      <c r="C298">
        <v>1028</v>
      </c>
      <c r="D298">
        <v>2458.4899999999998</v>
      </c>
      <c r="E298" s="2">
        <v>44785</v>
      </c>
      <c r="F298" t="s">
        <v>357</v>
      </c>
      <c r="I298" t="str">
        <f t="shared" si="8"/>
        <v>OK</v>
      </c>
      <c r="J298" t="str">
        <f t="shared" si="9"/>
        <v>OK</v>
      </c>
      <c r="K298" t="str">
        <f>IF(ISNA(VLOOKUP(B298,Conturi!A:A,1,FALSE)),"Lipsă","OK")</f>
        <v>OK</v>
      </c>
      <c r="L298" t="str">
        <f>IF(ISBLANK(C298),"Retragere sau depunere",IF(ISNA(VLOOKUP(C298,Conturi!A:A,1,FALSE)),"Lipsă","OK"))</f>
        <v>OK</v>
      </c>
    </row>
    <row r="299" spans="1:12">
      <c r="A299">
        <v>313</v>
      </c>
      <c r="B299">
        <v>1097</v>
      </c>
      <c r="C299">
        <v>1040</v>
      </c>
      <c r="D299">
        <v>2051.9</v>
      </c>
      <c r="E299" s="2">
        <v>44838</v>
      </c>
      <c r="F299" t="s">
        <v>357</v>
      </c>
      <c r="I299" t="str">
        <f t="shared" si="8"/>
        <v>OK</v>
      </c>
      <c r="J299" t="str">
        <f t="shared" si="9"/>
        <v>OK</v>
      </c>
      <c r="K299" t="str">
        <f>IF(ISNA(VLOOKUP(B299,Conturi!A:A,1,FALSE)),"Lipsă","OK")</f>
        <v>OK</v>
      </c>
      <c r="L299" t="str">
        <f>IF(ISBLANK(C299),"Retragere sau depunere",IF(ISNA(VLOOKUP(C299,Conturi!A:A,1,FALSE)),"Lipsă","OK"))</f>
        <v>OK</v>
      </c>
    </row>
    <row r="300" spans="1:12">
      <c r="A300">
        <v>314</v>
      </c>
      <c r="B300">
        <v>1097</v>
      </c>
      <c r="C300">
        <v>1085</v>
      </c>
      <c r="D300">
        <v>1436.1</v>
      </c>
      <c r="E300" s="2">
        <v>44788</v>
      </c>
      <c r="F300" t="s">
        <v>357</v>
      </c>
      <c r="I300" t="str">
        <f t="shared" si="8"/>
        <v>OK</v>
      </c>
      <c r="J300" t="str">
        <f t="shared" si="9"/>
        <v>OK</v>
      </c>
      <c r="K300" t="str">
        <f>IF(ISNA(VLOOKUP(B300,Conturi!A:A,1,FALSE)),"Lipsă","OK")</f>
        <v>OK</v>
      </c>
      <c r="L300" t="str">
        <f>IF(ISBLANK(C300),"Retragere sau depunere",IF(ISNA(VLOOKUP(C300,Conturi!A:A,1,FALSE)),"Lipsă","OK"))</f>
        <v>OK</v>
      </c>
    </row>
    <row r="301" spans="1:12">
      <c r="A301">
        <v>315</v>
      </c>
      <c r="B301">
        <v>1098</v>
      </c>
      <c r="D301">
        <v>4618.0600000000004</v>
      </c>
      <c r="E301" s="2">
        <v>44889</v>
      </c>
      <c r="F301" t="s">
        <v>356</v>
      </c>
      <c r="I301" t="str">
        <f t="shared" si="8"/>
        <v>OK</v>
      </c>
      <c r="J301" t="str">
        <f t="shared" si="9"/>
        <v>Lipsă</v>
      </c>
      <c r="K301" t="str">
        <f>IF(ISNA(VLOOKUP(B301,Conturi!A:A,1,FALSE)),"Lipsă","OK")</f>
        <v>OK</v>
      </c>
      <c r="L301" t="str">
        <f>IF(ISBLANK(C301),"Retragere sau depunere",IF(ISNA(VLOOKUP(C301,Conturi!A:A,1,FALSE)),"Lipsă","OK"))</f>
        <v>Retragere sau depunere</v>
      </c>
    </row>
    <row r="302" spans="1:12">
      <c r="A302">
        <v>316</v>
      </c>
      <c r="B302">
        <v>1098</v>
      </c>
      <c r="C302">
        <v>1108</v>
      </c>
      <c r="D302">
        <v>3460.35</v>
      </c>
      <c r="E302" s="2">
        <v>44592</v>
      </c>
      <c r="F302" t="s">
        <v>357</v>
      </c>
      <c r="I302" t="str">
        <f t="shared" si="8"/>
        <v>OK</v>
      </c>
      <c r="J302" t="str">
        <f t="shared" si="9"/>
        <v>OK</v>
      </c>
      <c r="K302" t="str">
        <f>IF(ISNA(VLOOKUP(B302,Conturi!A:A,1,FALSE)),"Lipsă","OK")</f>
        <v>OK</v>
      </c>
      <c r="L302" t="str">
        <f>IF(ISBLANK(C302),"Retragere sau depunere",IF(ISNA(VLOOKUP(C302,Conturi!A:A,1,FALSE)),"Lipsă","OK"))</f>
        <v>OK</v>
      </c>
    </row>
    <row r="303" spans="1:12">
      <c r="A303">
        <v>317</v>
      </c>
      <c r="B303">
        <v>1099</v>
      </c>
      <c r="D303">
        <v>1443.16</v>
      </c>
      <c r="E303" s="2">
        <v>44641</v>
      </c>
      <c r="F303" t="s">
        <v>356</v>
      </c>
      <c r="I303" t="str">
        <f t="shared" si="8"/>
        <v>OK</v>
      </c>
      <c r="J303" t="str">
        <f t="shared" si="9"/>
        <v>Lipsă</v>
      </c>
      <c r="K303" t="str">
        <f>IF(ISNA(VLOOKUP(B303,Conturi!A:A,1,FALSE)),"Lipsă","OK")</f>
        <v>OK</v>
      </c>
      <c r="L303" t="str">
        <f>IF(ISBLANK(C303),"Retragere sau depunere",IF(ISNA(VLOOKUP(C303,Conturi!A:A,1,FALSE)),"Lipsă","OK"))</f>
        <v>Retragere sau depunere</v>
      </c>
    </row>
    <row r="304" spans="1:12">
      <c r="A304">
        <v>318</v>
      </c>
      <c r="B304">
        <v>1100</v>
      </c>
      <c r="C304">
        <v>1009</v>
      </c>
      <c r="D304">
        <v>3044.78</v>
      </c>
      <c r="E304" s="2">
        <v>44663</v>
      </c>
      <c r="F304" t="s">
        <v>357</v>
      </c>
      <c r="I304" t="str">
        <f t="shared" si="8"/>
        <v>OK</v>
      </c>
      <c r="J304" t="str">
        <f t="shared" si="9"/>
        <v>OK</v>
      </c>
      <c r="K304" t="str">
        <f>IF(ISNA(VLOOKUP(B304,Conturi!A:A,1,FALSE)),"Lipsă","OK")</f>
        <v>OK</v>
      </c>
      <c r="L304" t="str">
        <f>IF(ISBLANK(C304),"Retragere sau depunere",IF(ISNA(VLOOKUP(C304,Conturi!A:A,1,FALSE)),"Lipsă","OK"))</f>
        <v>OK</v>
      </c>
    </row>
    <row r="305" spans="1:12">
      <c r="A305">
        <v>319</v>
      </c>
      <c r="B305">
        <v>1100</v>
      </c>
      <c r="D305">
        <v>4273.87</v>
      </c>
      <c r="E305" s="2">
        <v>44840</v>
      </c>
      <c r="F305" t="s">
        <v>358</v>
      </c>
      <c r="I305" t="str">
        <f t="shared" si="8"/>
        <v>OK</v>
      </c>
      <c r="J305" t="str">
        <f t="shared" si="9"/>
        <v>Lipsă</v>
      </c>
      <c r="K305" t="str">
        <f>IF(ISNA(VLOOKUP(B305,Conturi!A:A,1,FALSE)),"Lipsă","OK")</f>
        <v>OK</v>
      </c>
      <c r="L305" t="str">
        <f>IF(ISBLANK(C305),"Retragere sau depunere",IF(ISNA(VLOOKUP(C305,Conturi!A:A,1,FALSE)),"Lipsă","OK"))</f>
        <v>Retragere sau depunere</v>
      </c>
    </row>
    <row r="306" spans="1:12">
      <c r="A306">
        <v>320</v>
      </c>
      <c r="B306">
        <v>1101</v>
      </c>
      <c r="D306">
        <v>821.87</v>
      </c>
      <c r="E306" s="2">
        <v>44816</v>
      </c>
      <c r="F306" t="s">
        <v>356</v>
      </c>
      <c r="I306" t="str">
        <f t="shared" si="8"/>
        <v>OK</v>
      </c>
      <c r="J306" t="str">
        <f t="shared" si="9"/>
        <v>Lipsă</v>
      </c>
      <c r="K306" t="str">
        <f>IF(ISNA(VLOOKUP(B306,Conturi!A:A,1,FALSE)),"Lipsă","OK")</f>
        <v>OK</v>
      </c>
      <c r="L306" t="str">
        <f>IF(ISBLANK(C306),"Retragere sau depunere",IF(ISNA(VLOOKUP(C306,Conturi!A:A,1,FALSE)),"Lipsă","OK"))</f>
        <v>Retragere sau depunere</v>
      </c>
    </row>
    <row r="307" spans="1:12">
      <c r="A307">
        <v>321</v>
      </c>
      <c r="B307">
        <v>1102</v>
      </c>
      <c r="D307">
        <v>3844.51</v>
      </c>
      <c r="E307" s="2">
        <v>44776</v>
      </c>
      <c r="F307" t="s">
        <v>356</v>
      </c>
      <c r="I307" t="str">
        <f t="shared" si="8"/>
        <v>OK</v>
      </c>
      <c r="J307" t="str">
        <f t="shared" si="9"/>
        <v>Lipsă</v>
      </c>
      <c r="K307" t="str">
        <f>IF(ISNA(VLOOKUP(B307,Conturi!A:A,1,FALSE)),"Lipsă","OK")</f>
        <v>OK</v>
      </c>
      <c r="L307" t="str">
        <f>IF(ISBLANK(C307),"Retragere sau depunere",IF(ISNA(VLOOKUP(C307,Conturi!A:A,1,FALSE)),"Lipsă","OK"))</f>
        <v>Retragere sau depunere</v>
      </c>
    </row>
    <row r="308" spans="1:12">
      <c r="A308">
        <v>322</v>
      </c>
      <c r="B308">
        <v>1103</v>
      </c>
      <c r="D308">
        <v>3193.9</v>
      </c>
      <c r="E308" s="2">
        <v>44594</v>
      </c>
      <c r="F308" t="s">
        <v>358</v>
      </c>
      <c r="I308" t="str">
        <f t="shared" si="8"/>
        <v>OK</v>
      </c>
      <c r="J308" t="str">
        <f t="shared" si="9"/>
        <v>Lipsă</v>
      </c>
      <c r="K308" t="str">
        <f>IF(ISNA(VLOOKUP(B308,Conturi!A:A,1,FALSE)),"Lipsă","OK")</f>
        <v>OK</v>
      </c>
      <c r="L308" t="str">
        <f>IF(ISBLANK(C308),"Retragere sau depunere",IF(ISNA(VLOOKUP(C308,Conturi!A:A,1,FALSE)),"Lipsă","OK"))</f>
        <v>Retragere sau depunere</v>
      </c>
    </row>
    <row r="309" spans="1:12">
      <c r="A309">
        <v>323</v>
      </c>
      <c r="B309">
        <v>1103</v>
      </c>
      <c r="D309">
        <v>4937.3599999999997</v>
      </c>
      <c r="E309" s="2">
        <v>44817</v>
      </c>
      <c r="F309" t="s">
        <v>358</v>
      </c>
      <c r="I309" t="str">
        <f t="shared" si="8"/>
        <v>OK</v>
      </c>
      <c r="J309" t="str">
        <f t="shared" si="9"/>
        <v>Lipsă</v>
      </c>
      <c r="K309" t="str">
        <f>IF(ISNA(VLOOKUP(B309,Conturi!A:A,1,FALSE)),"Lipsă","OK")</f>
        <v>OK</v>
      </c>
      <c r="L309" t="str">
        <f>IF(ISBLANK(C309),"Retragere sau depunere",IF(ISNA(VLOOKUP(C309,Conturi!A:A,1,FALSE)),"Lipsă","OK"))</f>
        <v>Retragere sau depunere</v>
      </c>
    </row>
    <row r="310" spans="1:12">
      <c r="A310">
        <v>324</v>
      </c>
      <c r="B310">
        <v>1104</v>
      </c>
      <c r="D310">
        <v>1062.46</v>
      </c>
      <c r="E310" s="2">
        <v>44842</v>
      </c>
      <c r="F310" t="s">
        <v>356</v>
      </c>
      <c r="I310" t="str">
        <f t="shared" si="8"/>
        <v>OK</v>
      </c>
      <c r="J310" t="str">
        <f t="shared" si="9"/>
        <v>Lipsă</v>
      </c>
      <c r="K310" t="str">
        <f>IF(ISNA(VLOOKUP(B310,Conturi!A:A,1,FALSE)),"Lipsă","OK")</f>
        <v>OK</v>
      </c>
      <c r="L310" t="str">
        <f>IF(ISBLANK(C310),"Retragere sau depunere",IF(ISNA(VLOOKUP(C310,Conturi!A:A,1,FALSE)),"Lipsă","OK"))</f>
        <v>Retragere sau depunere</v>
      </c>
    </row>
    <row r="311" spans="1:12">
      <c r="A311">
        <v>325</v>
      </c>
      <c r="B311">
        <v>1104</v>
      </c>
      <c r="C311">
        <v>1100</v>
      </c>
      <c r="D311">
        <v>3588.76</v>
      </c>
      <c r="E311" s="2">
        <v>44732</v>
      </c>
      <c r="F311" t="s">
        <v>357</v>
      </c>
      <c r="I311" t="str">
        <f t="shared" si="8"/>
        <v>OK</v>
      </c>
      <c r="J311" t="str">
        <f t="shared" si="9"/>
        <v>OK</v>
      </c>
      <c r="K311" t="str">
        <f>IF(ISNA(VLOOKUP(B311,Conturi!A:A,1,FALSE)),"Lipsă","OK")</f>
        <v>OK</v>
      </c>
      <c r="L311" t="str">
        <f>IF(ISBLANK(C311),"Retragere sau depunere",IF(ISNA(VLOOKUP(C311,Conturi!A:A,1,FALSE)),"Lipsă","OK"))</f>
        <v>OK</v>
      </c>
    </row>
    <row r="312" spans="1:12">
      <c r="A312">
        <v>326</v>
      </c>
      <c r="B312">
        <v>1104</v>
      </c>
      <c r="C312">
        <v>1072</v>
      </c>
      <c r="D312">
        <v>852.13</v>
      </c>
      <c r="E312" s="2">
        <v>44826</v>
      </c>
      <c r="F312" t="s">
        <v>357</v>
      </c>
      <c r="I312" t="str">
        <f t="shared" si="8"/>
        <v>OK</v>
      </c>
      <c r="J312" t="str">
        <f t="shared" si="9"/>
        <v>OK</v>
      </c>
      <c r="K312" t="str">
        <f>IF(ISNA(VLOOKUP(B312,Conturi!A:A,1,FALSE)),"Lipsă","OK")</f>
        <v>OK</v>
      </c>
      <c r="L312" t="str">
        <f>IF(ISBLANK(C312),"Retragere sau depunere",IF(ISNA(VLOOKUP(C312,Conturi!A:A,1,FALSE)),"Lipsă","OK"))</f>
        <v>OK</v>
      </c>
    </row>
    <row r="313" spans="1:12">
      <c r="A313">
        <v>327</v>
      </c>
      <c r="B313">
        <v>1104</v>
      </c>
      <c r="D313">
        <v>198.75</v>
      </c>
      <c r="E313" s="2">
        <v>44758</v>
      </c>
      <c r="F313" t="s">
        <v>356</v>
      </c>
      <c r="I313" t="str">
        <f t="shared" si="8"/>
        <v>OK</v>
      </c>
      <c r="J313" t="str">
        <f t="shared" si="9"/>
        <v>Lipsă</v>
      </c>
      <c r="K313" t="str">
        <f>IF(ISNA(VLOOKUP(B313,Conturi!A:A,1,FALSE)),"Lipsă","OK")</f>
        <v>OK</v>
      </c>
      <c r="L313" t="str">
        <f>IF(ISBLANK(C313),"Retragere sau depunere",IF(ISNA(VLOOKUP(C313,Conturi!A:A,1,FALSE)),"Lipsă","OK"))</f>
        <v>Retragere sau depunere</v>
      </c>
    </row>
    <row r="314" spans="1:12">
      <c r="A314">
        <v>328</v>
      </c>
      <c r="B314">
        <v>1105</v>
      </c>
      <c r="D314">
        <v>2430.38</v>
      </c>
      <c r="E314" s="2">
        <v>44579</v>
      </c>
      <c r="F314" t="s">
        <v>356</v>
      </c>
      <c r="I314" t="str">
        <f t="shared" si="8"/>
        <v>OK</v>
      </c>
      <c r="J314" t="str">
        <f t="shared" si="9"/>
        <v>Lipsă</v>
      </c>
      <c r="K314" t="str">
        <f>IF(ISNA(VLOOKUP(B314,Conturi!A:A,1,FALSE)),"Lipsă","OK")</f>
        <v>OK</v>
      </c>
      <c r="L314" t="str">
        <f>IF(ISBLANK(C314),"Retragere sau depunere",IF(ISNA(VLOOKUP(C314,Conturi!A:A,1,FALSE)),"Lipsă","OK"))</f>
        <v>Retragere sau depunere</v>
      </c>
    </row>
    <row r="315" spans="1:12">
      <c r="A315">
        <v>329</v>
      </c>
      <c r="B315">
        <v>1105</v>
      </c>
      <c r="D315">
        <v>1644.87</v>
      </c>
      <c r="E315" s="2">
        <v>44587</v>
      </c>
      <c r="F315" t="s">
        <v>356</v>
      </c>
      <c r="I315" t="str">
        <f t="shared" si="8"/>
        <v>OK</v>
      </c>
      <c r="J315" t="str">
        <f t="shared" si="9"/>
        <v>Lipsă</v>
      </c>
      <c r="K315" t="str">
        <f>IF(ISNA(VLOOKUP(B315,Conturi!A:A,1,FALSE)),"Lipsă","OK")</f>
        <v>OK</v>
      </c>
      <c r="L315" t="str">
        <f>IF(ISBLANK(C315),"Retragere sau depunere",IF(ISNA(VLOOKUP(C315,Conturi!A:A,1,FALSE)),"Lipsă","OK"))</f>
        <v>Retragere sau depunere</v>
      </c>
    </row>
    <row r="316" spans="1:12">
      <c r="A316">
        <v>330</v>
      </c>
      <c r="B316">
        <v>1105</v>
      </c>
      <c r="C316">
        <v>1140</v>
      </c>
      <c r="D316">
        <v>4901.01</v>
      </c>
      <c r="E316" s="2">
        <v>44764</v>
      </c>
      <c r="F316" t="s">
        <v>357</v>
      </c>
      <c r="I316" t="str">
        <f t="shared" si="8"/>
        <v>OK</v>
      </c>
      <c r="J316" t="str">
        <f t="shared" si="9"/>
        <v>OK</v>
      </c>
      <c r="K316" t="str">
        <f>IF(ISNA(VLOOKUP(B316,Conturi!A:A,1,FALSE)),"Lipsă","OK")</f>
        <v>OK</v>
      </c>
      <c r="L316" t="str">
        <f>IF(ISBLANK(C316),"Retragere sau depunere",IF(ISNA(VLOOKUP(C316,Conturi!A:A,1,FALSE)),"Lipsă","OK"))</f>
        <v>OK</v>
      </c>
    </row>
    <row r="317" spans="1:12">
      <c r="A317">
        <v>331</v>
      </c>
      <c r="B317">
        <v>1105</v>
      </c>
      <c r="C317">
        <v>1040</v>
      </c>
      <c r="D317">
        <v>1156</v>
      </c>
      <c r="E317" s="2">
        <v>44656</v>
      </c>
      <c r="F317" t="s">
        <v>357</v>
      </c>
      <c r="I317" t="str">
        <f t="shared" si="8"/>
        <v>OK</v>
      </c>
      <c r="J317" t="str">
        <f t="shared" si="9"/>
        <v>OK</v>
      </c>
      <c r="K317" t="str">
        <f>IF(ISNA(VLOOKUP(B317,Conturi!A:A,1,FALSE)),"Lipsă","OK")</f>
        <v>OK</v>
      </c>
      <c r="L317" t="str">
        <f>IF(ISBLANK(C317),"Retragere sau depunere",IF(ISNA(VLOOKUP(C317,Conturi!A:A,1,FALSE)),"Lipsă","OK"))</f>
        <v>OK</v>
      </c>
    </row>
    <row r="318" spans="1:12">
      <c r="A318">
        <v>332</v>
      </c>
      <c r="B318">
        <v>1105</v>
      </c>
      <c r="D318">
        <v>4161.6400000000003</v>
      </c>
      <c r="E318" s="2">
        <v>44848</v>
      </c>
      <c r="F318" t="s">
        <v>358</v>
      </c>
      <c r="I318" t="str">
        <f t="shared" si="8"/>
        <v>OK</v>
      </c>
      <c r="J318" t="str">
        <f t="shared" si="9"/>
        <v>Lipsă</v>
      </c>
      <c r="K318" t="str">
        <f>IF(ISNA(VLOOKUP(B318,Conturi!A:A,1,FALSE)),"Lipsă","OK")</f>
        <v>OK</v>
      </c>
      <c r="L318" t="str">
        <f>IF(ISBLANK(C318),"Retragere sau depunere",IF(ISNA(VLOOKUP(C318,Conturi!A:A,1,FALSE)),"Lipsă","OK"))</f>
        <v>Retragere sau depunere</v>
      </c>
    </row>
    <row r="319" spans="1:12">
      <c r="A319">
        <v>333</v>
      </c>
      <c r="B319">
        <v>1106</v>
      </c>
      <c r="D319">
        <v>2670.98</v>
      </c>
      <c r="E319" s="2">
        <v>44719</v>
      </c>
      <c r="F319" t="s">
        <v>356</v>
      </c>
      <c r="I319" t="str">
        <f t="shared" si="8"/>
        <v>OK</v>
      </c>
      <c r="J319" t="str">
        <f t="shared" si="9"/>
        <v>Lipsă</v>
      </c>
      <c r="K319" t="str">
        <f>IF(ISNA(VLOOKUP(B319,Conturi!A:A,1,FALSE)),"Lipsă","OK")</f>
        <v>OK</v>
      </c>
      <c r="L319" t="str">
        <f>IF(ISBLANK(C319),"Retragere sau depunere",IF(ISNA(VLOOKUP(C319,Conturi!A:A,1,FALSE)),"Lipsă","OK"))</f>
        <v>Retragere sau depunere</v>
      </c>
    </row>
    <row r="320" spans="1:12">
      <c r="A320">
        <v>334</v>
      </c>
      <c r="B320">
        <v>1106</v>
      </c>
      <c r="C320">
        <v>1131</v>
      </c>
      <c r="D320">
        <v>2437.9</v>
      </c>
      <c r="E320" s="2">
        <v>44888</v>
      </c>
      <c r="F320" t="s">
        <v>357</v>
      </c>
      <c r="I320" t="str">
        <f t="shared" si="8"/>
        <v>OK</v>
      </c>
      <c r="J320" t="str">
        <f t="shared" si="9"/>
        <v>OK</v>
      </c>
      <c r="K320" t="str">
        <f>IF(ISNA(VLOOKUP(B320,Conturi!A:A,1,FALSE)),"Lipsă","OK")</f>
        <v>OK</v>
      </c>
      <c r="L320" t="str">
        <f>IF(ISBLANK(C320),"Retragere sau depunere",IF(ISNA(VLOOKUP(C320,Conturi!A:A,1,FALSE)),"Lipsă","OK"))</f>
        <v>OK</v>
      </c>
    </row>
    <row r="321" spans="1:12">
      <c r="A321">
        <v>335</v>
      </c>
      <c r="B321">
        <v>1106</v>
      </c>
      <c r="D321">
        <v>2418.79</v>
      </c>
      <c r="E321" s="2">
        <v>44800</v>
      </c>
      <c r="F321" t="s">
        <v>358</v>
      </c>
      <c r="I321" t="str">
        <f t="shared" si="8"/>
        <v>OK</v>
      </c>
      <c r="J321" t="str">
        <f t="shared" si="9"/>
        <v>Lipsă</v>
      </c>
      <c r="K321" t="str">
        <f>IF(ISNA(VLOOKUP(B321,Conturi!A:A,1,FALSE)),"Lipsă","OK")</f>
        <v>OK</v>
      </c>
      <c r="L321" t="str">
        <f>IF(ISBLANK(C321),"Retragere sau depunere",IF(ISNA(VLOOKUP(C321,Conturi!A:A,1,FALSE)),"Lipsă","OK"))</f>
        <v>Retragere sau depunere</v>
      </c>
    </row>
    <row r="322" spans="1:12">
      <c r="A322">
        <v>336</v>
      </c>
      <c r="B322">
        <v>1106</v>
      </c>
      <c r="D322">
        <v>1900.97</v>
      </c>
      <c r="E322" s="2">
        <v>44711</v>
      </c>
      <c r="F322" t="s">
        <v>358</v>
      </c>
      <c r="I322" t="str">
        <f t="shared" si="8"/>
        <v>OK</v>
      </c>
      <c r="J322" t="str">
        <f t="shared" si="9"/>
        <v>Lipsă</v>
      </c>
      <c r="K322" t="str">
        <f>IF(ISNA(VLOOKUP(B322,Conturi!A:A,1,FALSE)),"Lipsă","OK")</f>
        <v>OK</v>
      </c>
      <c r="L322" t="str">
        <f>IF(ISBLANK(C322),"Retragere sau depunere",IF(ISNA(VLOOKUP(C322,Conturi!A:A,1,FALSE)),"Lipsă","OK"))</f>
        <v>Retragere sau depunere</v>
      </c>
    </row>
    <row r="323" spans="1:12">
      <c r="A323">
        <v>337</v>
      </c>
      <c r="B323">
        <v>1106</v>
      </c>
      <c r="D323">
        <v>376.29</v>
      </c>
      <c r="E323" s="2">
        <v>44904</v>
      </c>
      <c r="F323" t="s">
        <v>356</v>
      </c>
      <c r="I323" t="str">
        <f t="shared" ref="I323:I386" si="10">IF(D323&lt;0,"Greșit","OK")</f>
        <v>OK</v>
      </c>
      <c r="J323" t="str">
        <f t="shared" ref="J323:J386" si="11">IF(ISBLANK(C323),"Lipsă","OK")</f>
        <v>Lipsă</v>
      </c>
      <c r="K323" t="str">
        <f>IF(ISNA(VLOOKUP(B323,Conturi!A:A,1,FALSE)),"Lipsă","OK")</f>
        <v>OK</v>
      </c>
      <c r="L323" t="str">
        <f>IF(ISBLANK(C323),"Retragere sau depunere",IF(ISNA(VLOOKUP(C323,Conturi!A:A,1,FALSE)),"Lipsă","OK"))</f>
        <v>Retragere sau depunere</v>
      </c>
    </row>
    <row r="324" spans="1:12">
      <c r="A324">
        <v>338</v>
      </c>
      <c r="B324">
        <v>1107</v>
      </c>
      <c r="D324">
        <v>3558.44</v>
      </c>
      <c r="E324" s="2">
        <v>44612</v>
      </c>
      <c r="F324" t="s">
        <v>358</v>
      </c>
      <c r="I324" t="str">
        <f t="shared" si="10"/>
        <v>OK</v>
      </c>
      <c r="J324" t="str">
        <f t="shared" si="11"/>
        <v>Lipsă</v>
      </c>
      <c r="K324" t="str">
        <f>IF(ISNA(VLOOKUP(B324,Conturi!A:A,1,FALSE)),"Lipsă","OK")</f>
        <v>OK</v>
      </c>
      <c r="L324" t="str">
        <f>IF(ISBLANK(C324),"Retragere sau depunere",IF(ISNA(VLOOKUP(C324,Conturi!A:A,1,FALSE)),"Lipsă","OK"))</f>
        <v>Retragere sau depunere</v>
      </c>
    </row>
    <row r="325" spans="1:12">
      <c r="A325">
        <v>339</v>
      </c>
      <c r="B325">
        <v>1108</v>
      </c>
      <c r="D325">
        <v>1932.04</v>
      </c>
      <c r="E325" s="2">
        <v>44683</v>
      </c>
      <c r="F325" t="s">
        <v>358</v>
      </c>
      <c r="I325" t="str">
        <f t="shared" si="10"/>
        <v>OK</v>
      </c>
      <c r="J325" t="str">
        <f t="shared" si="11"/>
        <v>Lipsă</v>
      </c>
      <c r="K325" t="str">
        <f>IF(ISNA(VLOOKUP(B325,Conturi!A:A,1,FALSE)),"Lipsă","OK")</f>
        <v>OK</v>
      </c>
      <c r="L325" t="str">
        <f>IF(ISBLANK(C325),"Retragere sau depunere",IF(ISNA(VLOOKUP(C325,Conturi!A:A,1,FALSE)),"Lipsă","OK"))</f>
        <v>Retragere sau depunere</v>
      </c>
    </row>
    <row r="326" spans="1:12">
      <c r="A326">
        <v>340</v>
      </c>
      <c r="B326">
        <v>1108</v>
      </c>
      <c r="D326">
        <v>3715.23</v>
      </c>
      <c r="E326" s="2">
        <v>44570</v>
      </c>
      <c r="F326" t="s">
        <v>356</v>
      </c>
      <c r="I326" t="str">
        <f t="shared" si="10"/>
        <v>OK</v>
      </c>
      <c r="J326" t="str">
        <f t="shared" si="11"/>
        <v>Lipsă</v>
      </c>
      <c r="K326" t="str">
        <f>IF(ISNA(VLOOKUP(B326,Conturi!A:A,1,FALSE)),"Lipsă","OK")</f>
        <v>OK</v>
      </c>
      <c r="L326" t="str">
        <f>IF(ISBLANK(C326),"Retragere sau depunere",IF(ISNA(VLOOKUP(C326,Conturi!A:A,1,FALSE)),"Lipsă","OK"))</f>
        <v>Retragere sau depunere</v>
      </c>
    </row>
    <row r="327" spans="1:12">
      <c r="A327">
        <v>341</v>
      </c>
      <c r="B327">
        <v>1108</v>
      </c>
      <c r="D327">
        <v>2998.19</v>
      </c>
      <c r="E327" s="2">
        <v>44646</v>
      </c>
      <c r="F327" t="s">
        <v>356</v>
      </c>
      <c r="I327" t="str">
        <f t="shared" si="10"/>
        <v>OK</v>
      </c>
      <c r="J327" t="str">
        <f t="shared" si="11"/>
        <v>Lipsă</v>
      </c>
      <c r="K327" t="str">
        <f>IF(ISNA(VLOOKUP(B327,Conturi!A:A,1,FALSE)),"Lipsă","OK")</f>
        <v>OK</v>
      </c>
      <c r="L327" t="str">
        <f>IF(ISBLANK(C327),"Retragere sau depunere",IF(ISNA(VLOOKUP(C327,Conturi!A:A,1,FALSE)),"Lipsă","OK"))</f>
        <v>Retragere sau depunere</v>
      </c>
    </row>
    <row r="328" spans="1:12">
      <c r="A328">
        <v>342</v>
      </c>
      <c r="B328">
        <v>1108</v>
      </c>
      <c r="D328">
        <v>1010.28</v>
      </c>
      <c r="E328" s="2">
        <v>44744</v>
      </c>
      <c r="F328" t="s">
        <v>356</v>
      </c>
      <c r="I328" t="str">
        <f t="shared" si="10"/>
        <v>OK</v>
      </c>
      <c r="J328" t="str">
        <f t="shared" si="11"/>
        <v>Lipsă</v>
      </c>
      <c r="K328" t="str">
        <f>IF(ISNA(VLOOKUP(B328,Conturi!A:A,1,FALSE)),"Lipsă","OK")</f>
        <v>OK</v>
      </c>
      <c r="L328" t="str">
        <f>IF(ISBLANK(C328),"Retragere sau depunere",IF(ISNA(VLOOKUP(C328,Conturi!A:A,1,FALSE)),"Lipsă","OK"))</f>
        <v>Retragere sau depunere</v>
      </c>
    </row>
    <row r="329" spans="1:12">
      <c r="A329">
        <v>343</v>
      </c>
      <c r="B329">
        <v>1109</v>
      </c>
      <c r="D329">
        <v>1332.37</v>
      </c>
      <c r="E329" s="2">
        <v>44751</v>
      </c>
      <c r="F329" t="s">
        <v>356</v>
      </c>
      <c r="I329" t="str">
        <f t="shared" si="10"/>
        <v>OK</v>
      </c>
      <c r="J329" t="str">
        <f t="shared" si="11"/>
        <v>Lipsă</v>
      </c>
      <c r="K329" t="str">
        <f>IF(ISNA(VLOOKUP(B329,Conturi!A:A,1,FALSE)),"Lipsă","OK")</f>
        <v>OK</v>
      </c>
      <c r="L329" t="str">
        <f>IF(ISBLANK(C329),"Retragere sau depunere",IF(ISNA(VLOOKUP(C329,Conturi!A:A,1,FALSE)),"Lipsă","OK"))</f>
        <v>Retragere sau depunere</v>
      </c>
    </row>
    <row r="330" spans="1:12">
      <c r="A330">
        <v>344</v>
      </c>
      <c r="B330">
        <v>1109</v>
      </c>
      <c r="C330">
        <v>1031</v>
      </c>
      <c r="D330">
        <v>3680.74</v>
      </c>
      <c r="E330" s="2">
        <v>44633</v>
      </c>
      <c r="F330" t="s">
        <v>357</v>
      </c>
      <c r="I330" t="str">
        <f t="shared" si="10"/>
        <v>OK</v>
      </c>
      <c r="J330" t="str">
        <f t="shared" si="11"/>
        <v>OK</v>
      </c>
      <c r="K330" t="str">
        <f>IF(ISNA(VLOOKUP(B330,Conturi!A:A,1,FALSE)),"Lipsă","OK")</f>
        <v>OK</v>
      </c>
      <c r="L330" t="str">
        <f>IF(ISBLANK(C330),"Retragere sau depunere",IF(ISNA(VLOOKUP(C330,Conturi!A:A,1,FALSE)),"Lipsă","OK"))</f>
        <v>OK</v>
      </c>
    </row>
    <row r="331" spans="1:12">
      <c r="A331">
        <v>345</v>
      </c>
      <c r="B331">
        <v>1109</v>
      </c>
      <c r="C331">
        <v>1146</v>
      </c>
      <c r="D331">
        <v>4389.75</v>
      </c>
      <c r="E331" s="2">
        <v>44870</v>
      </c>
      <c r="F331" t="s">
        <v>357</v>
      </c>
      <c r="I331" t="str">
        <f t="shared" si="10"/>
        <v>OK</v>
      </c>
      <c r="J331" t="str">
        <f t="shared" si="11"/>
        <v>OK</v>
      </c>
      <c r="K331" t="str">
        <f>IF(ISNA(VLOOKUP(B331,Conturi!A:A,1,FALSE)),"Lipsă","OK")</f>
        <v>OK</v>
      </c>
      <c r="L331" t="str">
        <f>IF(ISBLANK(C331),"Retragere sau depunere",IF(ISNA(VLOOKUP(C331,Conturi!A:A,1,FALSE)),"Lipsă","OK"))</f>
        <v>OK</v>
      </c>
    </row>
    <row r="332" spans="1:12">
      <c r="A332">
        <v>346</v>
      </c>
      <c r="B332">
        <v>1109</v>
      </c>
      <c r="C332">
        <v>1108</v>
      </c>
      <c r="D332">
        <v>2221.7800000000002</v>
      </c>
      <c r="E332" s="2">
        <v>44629</v>
      </c>
      <c r="F332" t="s">
        <v>357</v>
      </c>
      <c r="I332" t="str">
        <f t="shared" si="10"/>
        <v>OK</v>
      </c>
      <c r="J332" t="str">
        <f t="shared" si="11"/>
        <v>OK</v>
      </c>
      <c r="K332" t="str">
        <f>IF(ISNA(VLOOKUP(B332,Conturi!A:A,1,FALSE)),"Lipsă","OK")</f>
        <v>OK</v>
      </c>
      <c r="L332" t="str">
        <f>IF(ISBLANK(C332),"Retragere sau depunere",IF(ISNA(VLOOKUP(C332,Conturi!A:A,1,FALSE)),"Lipsă","OK"))</f>
        <v>OK</v>
      </c>
    </row>
    <row r="333" spans="1:12">
      <c r="A333">
        <v>347</v>
      </c>
      <c r="B333">
        <v>1110</v>
      </c>
      <c r="D333">
        <v>4368.21</v>
      </c>
      <c r="E333" s="2">
        <v>44613</v>
      </c>
      <c r="F333" t="s">
        <v>356</v>
      </c>
      <c r="I333" t="str">
        <f t="shared" si="10"/>
        <v>OK</v>
      </c>
      <c r="J333" t="str">
        <f t="shared" si="11"/>
        <v>Lipsă</v>
      </c>
      <c r="K333" t="str">
        <f>IF(ISNA(VLOOKUP(B333,Conturi!A:A,1,FALSE)),"Lipsă","OK")</f>
        <v>OK</v>
      </c>
      <c r="L333" t="str">
        <f>IF(ISBLANK(C333),"Retragere sau depunere",IF(ISNA(VLOOKUP(C333,Conturi!A:A,1,FALSE)),"Lipsă","OK"))</f>
        <v>Retragere sau depunere</v>
      </c>
    </row>
    <row r="334" spans="1:12">
      <c r="A334">
        <v>348</v>
      </c>
      <c r="B334">
        <v>1110</v>
      </c>
      <c r="D334">
        <v>4081.4</v>
      </c>
      <c r="E334" s="2">
        <v>44881</v>
      </c>
      <c r="F334" t="s">
        <v>358</v>
      </c>
      <c r="I334" t="str">
        <f t="shared" si="10"/>
        <v>OK</v>
      </c>
      <c r="J334" t="str">
        <f t="shared" si="11"/>
        <v>Lipsă</v>
      </c>
      <c r="K334" t="str">
        <f>IF(ISNA(VLOOKUP(B334,Conturi!A:A,1,FALSE)),"Lipsă","OK")</f>
        <v>OK</v>
      </c>
      <c r="L334" t="str">
        <f>IF(ISBLANK(C334),"Retragere sau depunere",IF(ISNA(VLOOKUP(C334,Conturi!A:A,1,FALSE)),"Lipsă","OK"))</f>
        <v>Retragere sau depunere</v>
      </c>
    </row>
    <row r="335" spans="1:12">
      <c r="A335">
        <v>349</v>
      </c>
      <c r="B335">
        <v>1110</v>
      </c>
      <c r="D335">
        <v>1305.33</v>
      </c>
      <c r="E335" s="2">
        <v>44613</v>
      </c>
      <c r="F335" t="s">
        <v>356</v>
      </c>
      <c r="I335" t="str">
        <f t="shared" si="10"/>
        <v>OK</v>
      </c>
      <c r="J335" t="str">
        <f t="shared" si="11"/>
        <v>Lipsă</v>
      </c>
      <c r="K335" t="str">
        <f>IF(ISNA(VLOOKUP(B335,Conturi!A:A,1,FALSE)),"Lipsă","OK")</f>
        <v>OK</v>
      </c>
      <c r="L335" t="str">
        <f>IF(ISBLANK(C335),"Retragere sau depunere",IF(ISNA(VLOOKUP(C335,Conturi!A:A,1,FALSE)),"Lipsă","OK"))</f>
        <v>Retragere sau depunere</v>
      </c>
    </row>
    <row r="336" spans="1:12">
      <c r="A336">
        <v>350</v>
      </c>
      <c r="B336">
        <v>1111</v>
      </c>
      <c r="D336">
        <v>3234.1</v>
      </c>
      <c r="E336" s="2">
        <v>44701</v>
      </c>
      <c r="F336" t="s">
        <v>358</v>
      </c>
      <c r="I336" t="str">
        <f t="shared" si="10"/>
        <v>OK</v>
      </c>
      <c r="J336" t="str">
        <f t="shared" si="11"/>
        <v>Lipsă</v>
      </c>
      <c r="K336" t="str">
        <f>IF(ISNA(VLOOKUP(B336,Conturi!A:A,1,FALSE)),"Lipsă","OK")</f>
        <v>OK</v>
      </c>
      <c r="L336" t="str">
        <f>IF(ISBLANK(C336),"Retragere sau depunere",IF(ISNA(VLOOKUP(C336,Conturi!A:A,1,FALSE)),"Lipsă","OK"))</f>
        <v>Retragere sau depunere</v>
      </c>
    </row>
    <row r="337" spans="1:12">
      <c r="A337">
        <v>351</v>
      </c>
      <c r="B337">
        <v>1111</v>
      </c>
      <c r="C337">
        <v>1048</v>
      </c>
      <c r="D337">
        <v>3750.15</v>
      </c>
      <c r="E337" s="2">
        <v>44728</v>
      </c>
      <c r="F337" t="s">
        <v>357</v>
      </c>
      <c r="I337" t="str">
        <f t="shared" si="10"/>
        <v>OK</v>
      </c>
      <c r="J337" t="str">
        <f t="shared" si="11"/>
        <v>OK</v>
      </c>
      <c r="K337" t="str">
        <f>IF(ISNA(VLOOKUP(B337,Conturi!A:A,1,FALSE)),"Lipsă","OK")</f>
        <v>OK</v>
      </c>
      <c r="L337" t="str">
        <f>IF(ISBLANK(C337),"Retragere sau depunere",IF(ISNA(VLOOKUP(C337,Conturi!A:A,1,FALSE)),"Lipsă","OK"))</f>
        <v>OK</v>
      </c>
    </row>
    <row r="338" spans="1:12">
      <c r="A338">
        <v>352</v>
      </c>
      <c r="B338">
        <v>1111</v>
      </c>
      <c r="D338">
        <v>2999.81</v>
      </c>
      <c r="E338" s="2">
        <v>44673</v>
      </c>
      <c r="F338" t="s">
        <v>358</v>
      </c>
      <c r="I338" t="str">
        <f t="shared" si="10"/>
        <v>OK</v>
      </c>
      <c r="J338" t="str">
        <f t="shared" si="11"/>
        <v>Lipsă</v>
      </c>
      <c r="K338" t="str">
        <f>IF(ISNA(VLOOKUP(B338,Conturi!A:A,1,FALSE)),"Lipsă","OK")</f>
        <v>OK</v>
      </c>
      <c r="L338" t="str">
        <f>IF(ISBLANK(C338),"Retragere sau depunere",IF(ISNA(VLOOKUP(C338,Conturi!A:A,1,FALSE)),"Lipsă","OK"))</f>
        <v>Retragere sau depunere</v>
      </c>
    </row>
    <row r="339" spans="1:12">
      <c r="A339">
        <v>353</v>
      </c>
      <c r="B339">
        <v>1112</v>
      </c>
      <c r="C339">
        <v>1025</v>
      </c>
      <c r="D339">
        <v>4759.3500000000004</v>
      </c>
      <c r="E339" s="2">
        <v>44723</v>
      </c>
      <c r="F339" t="s">
        <v>357</v>
      </c>
      <c r="I339" t="str">
        <f t="shared" si="10"/>
        <v>OK</v>
      </c>
      <c r="J339" t="str">
        <f t="shared" si="11"/>
        <v>OK</v>
      </c>
      <c r="K339" t="str">
        <f>IF(ISNA(VLOOKUP(B339,Conturi!A:A,1,FALSE)),"Lipsă","OK")</f>
        <v>OK</v>
      </c>
      <c r="L339" t="str">
        <f>IF(ISBLANK(C339),"Retragere sau depunere",IF(ISNA(VLOOKUP(C339,Conturi!A:A,1,FALSE)),"Lipsă","OK"))</f>
        <v>OK</v>
      </c>
    </row>
    <row r="340" spans="1:12">
      <c r="A340">
        <v>354</v>
      </c>
      <c r="B340">
        <v>1112</v>
      </c>
      <c r="D340">
        <v>2369.31</v>
      </c>
      <c r="E340" s="2">
        <v>44648</v>
      </c>
      <c r="F340" t="s">
        <v>356</v>
      </c>
      <c r="I340" t="str">
        <f t="shared" si="10"/>
        <v>OK</v>
      </c>
      <c r="J340" t="str">
        <f t="shared" si="11"/>
        <v>Lipsă</v>
      </c>
      <c r="K340" t="str">
        <f>IF(ISNA(VLOOKUP(B340,Conturi!A:A,1,FALSE)),"Lipsă","OK")</f>
        <v>OK</v>
      </c>
      <c r="L340" t="str">
        <f>IF(ISBLANK(C340),"Retragere sau depunere",IF(ISNA(VLOOKUP(C340,Conturi!A:A,1,FALSE)),"Lipsă","OK"))</f>
        <v>Retragere sau depunere</v>
      </c>
    </row>
    <row r="341" spans="1:12">
      <c r="A341">
        <v>355</v>
      </c>
      <c r="B341">
        <v>1112</v>
      </c>
      <c r="D341">
        <v>3592.85</v>
      </c>
      <c r="E341" s="2">
        <v>44795</v>
      </c>
      <c r="F341" t="s">
        <v>358</v>
      </c>
      <c r="I341" t="str">
        <f t="shared" si="10"/>
        <v>OK</v>
      </c>
      <c r="J341" t="str">
        <f t="shared" si="11"/>
        <v>Lipsă</v>
      </c>
      <c r="K341" t="str">
        <f>IF(ISNA(VLOOKUP(B341,Conturi!A:A,1,FALSE)),"Lipsă","OK")</f>
        <v>OK</v>
      </c>
      <c r="L341" t="str">
        <f>IF(ISBLANK(C341),"Retragere sau depunere",IF(ISNA(VLOOKUP(C341,Conturi!A:A,1,FALSE)),"Lipsă","OK"))</f>
        <v>Retragere sau depunere</v>
      </c>
    </row>
    <row r="342" spans="1:12">
      <c r="A342">
        <v>356</v>
      </c>
      <c r="B342">
        <v>1112</v>
      </c>
      <c r="C342">
        <v>1075</v>
      </c>
      <c r="D342">
        <v>85.94</v>
      </c>
      <c r="E342" s="2">
        <v>44628</v>
      </c>
      <c r="F342" t="s">
        <v>357</v>
      </c>
      <c r="I342" t="str">
        <f t="shared" si="10"/>
        <v>OK</v>
      </c>
      <c r="J342" t="str">
        <f t="shared" si="11"/>
        <v>OK</v>
      </c>
      <c r="K342" t="str">
        <f>IF(ISNA(VLOOKUP(B342,Conturi!A:A,1,FALSE)),"Lipsă","OK")</f>
        <v>OK</v>
      </c>
      <c r="L342" t="str">
        <f>IF(ISBLANK(C342),"Retragere sau depunere",IF(ISNA(VLOOKUP(C342,Conturi!A:A,1,FALSE)),"Lipsă","OK"))</f>
        <v>OK</v>
      </c>
    </row>
    <row r="343" spans="1:12">
      <c r="A343">
        <v>357</v>
      </c>
      <c r="B343">
        <v>1113</v>
      </c>
      <c r="D343">
        <v>388.83</v>
      </c>
      <c r="E343" s="2">
        <v>44652</v>
      </c>
      <c r="F343" t="s">
        <v>358</v>
      </c>
      <c r="I343" t="str">
        <f t="shared" si="10"/>
        <v>OK</v>
      </c>
      <c r="J343" t="str">
        <f t="shared" si="11"/>
        <v>Lipsă</v>
      </c>
      <c r="K343" t="str">
        <f>IF(ISNA(VLOOKUP(B343,Conturi!A:A,1,FALSE)),"Lipsă","OK")</f>
        <v>OK</v>
      </c>
      <c r="L343" t="str">
        <f>IF(ISBLANK(C343),"Retragere sau depunere",IF(ISNA(VLOOKUP(C343,Conturi!A:A,1,FALSE)),"Lipsă","OK"))</f>
        <v>Retragere sau depunere</v>
      </c>
    </row>
    <row r="344" spans="1:12">
      <c r="A344">
        <v>358</v>
      </c>
      <c r="B344">
        <v>1114</v>
      </c>
      <c r="C344">
        <v>1035</v>
      </c>
      <c r="D344">
        <v>4835.71</v>
      </c>
      <c r="E344" s="2">
        <v>44902</v>
      </c>
      <c r="F344" t="s">
        <v>357</v>
      </c>
      <c r="I344" t="str">
        <f t="shared" si="10"/>
        <v>OK</v>
      </c>
      <c r="J344" t="str">
        <f t="shared" si="11"/>
        <v>OK</v>
      </c>
      <c r="K344" t="str">
        <f>IF(ISNA(VLOOKUP(B344,Conturi!A:A,1,FALSE)),"Lipsă","OK")</f>
        <v>OK</v>
      </c>
      <c r="L344" t="str">
        <f>IF(ISBLANK(C344),"Retragere sau depunere",IF(ISNA(VLOOKUP(C344,Conturi!A:A,1,FALSE)),"Lipsă","OK"))</f>
        <v>OK</v>
      </c>
    </row>
    <row r="345" spans="1:12">
      <c r="A345">
        <v>359</v>
      </c>
      <c r="B345">
        <v>1114</v>
      </c>
      <c r="C345">
        <v>1058</v>
      </c>
      <c r="D345">
        <v>4133.21</v>
      </c>
      <c r="E345" s="2">
        <v>44726</v>
      </c>
      <c r="F345" t="s">
        <v>357</v>
      </c>
      <c r="I345" t="str">
        <f t="shared" si="10"/>
        <v>OK</v>
      </c>
      <c r="J345" t="str">
        <f t="shared" si="11"/>
        <v>OK</v>
      </c>
      <c r="K345" t="str">
        <f>IF(ISNA(VLOOKUP(B345,Conturi!A:A,1,FALSE)),"Lipsă","OK")</f>
        <v>OK</v>
      </c>
      <c r="L345" t="str">
        <f>IF(ISBLANK(C345),"Retragere sau depunere",IF(ISNA(VLOOKUP(C345,Conturi!A:A,1,FALSE)),"Lipsă","OK"))</f>
        <v>OK</v>
      </c>
    </row>
    <row r="346" spans="1:12">
      <c r="A346">
        <v>360</v>
      </c>
      <c r="B346">
        <v>1115</v>
      </c>
      <c r="D346">
        <v>3557.89</v>
      </c>
      <c r="E346" s="2">
        <v>44712</v>
      </c>
      <c r="F346" t="s">
        <v>358</v>
      </c>
      <c r="I346" t="str">
        <f t="shared" si="10"/>
        <v>OK</v>
      </c>
      <c r="J346" t="str">
        <f t="shared" si="11"/>
        <v>Lipsă</v>
      </c>
      <c r="K346" t="str">
        <f>IF(ISNA(VLOOKUP(B346,Conturi!A:A,1,FALSE)),"Lipsă","OK")</f>
        <v>OK</v>
      </c>
      <c r="L346" t="str">
        <f>IF(ISBLANK(C346),"Retragere sau depunere",IF(ISNA(VLOOKUP(C346,Conturi!A:A,1,FALSE)),"Lipsă","OK"))</f>
        <v>Retragere sau depunere</v>
      </c>
    </row>
    <row r="347" spans="1:12">
      <c r="A347">
        <v>361</v>
      </c>
      <c r="B347">
        <v>1115</v>
      </c>
      <c r="D347">
        <v>4238.5</v>
      </c>
      <c r="E347" s="2">
        <v>44901</v>
      </c>
      <c r="F347" t="s">
        <v>358</v>
      </c>
      <c r="I347" t="str">
        <f t="shared" si="10"/>
        <v>OK</v>
      </c>
      <c r="J347" t="str">
        <f t="shared" si="11"/>
        <v>Lipsă</v>
      </c>
      <c r="K347" t="str">
        <f>IF(ISNA(VLOOKUP(B347,Conturi!A:A,1,FALSE)),"Lipsă","OK")</f>
        <v>OK</v>
      </c>
      <c r="L347" t="str">
        <f>IF(ISBLANK(C347),"Retragere sau depunere",IF(ISNA(VLOOKUP(C347,Conturi!A:A,1,FALSE)),"Lipsă","OK"))</f>
        <v>Retragere sau depunere</v>
      </c>
    </row>
    <row r="348" spans="1:12">
      <c r="A348">
        <v>362</v>
      </c>
      <c r="B348">
        <v>1116</v>
      </c>
      <c r="C348">
        <v>1117</v>
      </c>
      <c r="D348">
        <v>3908.21</v>
      </c>
      <c r="E348" s="2">
        <v>44916</v>
      </c>
      <c r="F348" t="s">
        <v>357</v>
      </c>
      <c r="I348" t="str">
        <f t="shared" si="10"/>
        <v>OK</v>
      </c>
      <c r="J348" t="str">
        <f t="shared" si="11"/>
        <v>OK</v>
      </c>
      <c r="K348" t="str">
        <f>IF(ISNA(VLOOKUP(B348,Conturi!A:A,1,FALSE)),"Lipsă","OK")</f>
        <v>OK</v>
      </c>
      <c r="L348" t="str">
        <f>IF(ISBLANK(C348),"Retragere sau depunere",IF(ISNA(VLOOKUP(C348,Conturi!A:A,1,FALSE)),"Lipsă","OK"))</f>
        <v>OK</v>
      </c>
    </row>
    <row r="349" spans="1:12">
      <c r="A349">
        <v>363</v>
      </c>
      <c r="B349">
        <v>1116</v>
      </c>
      <c r="C349">
        <v>1057</v>
      </c>
      <c r="D349">
        <v>2955.63</v>
      </c>
      <c r="E349" s="2">
        <v>44643</v>
      </c>
      <c r="F349" t="s">
        <v>357</v>
      </c>
      <c r="I349" t="str">
        <f t="shared" si="10"/>
        <v>OK</v>
      </c>
      <c r="J349" t="str">
        <f t="shared" si="11"/>
        <v>OK</v>
      </c>
      <c r="K349" t="str">
        <f>IF(ISNA(VLOOKUP(B349,Conturi!A:A,1,FALSE)),"Lipsă","OK")</f>
        <v>OK</v>
      </c>
      <c r="L349" t="str">
        <f>IF(ISBLANK(C349),"Retragere sau depunere",IF(ISNA(VLOOKUP(C349,Conturi!A:A,1,FALSE)),"Lipsă","OK"))</f>
        <v>OK</v>
      </c>
    </row>
    <row r="350" spans="1:12">
      <c r="A350">
        <v>364</v>
      </c>
      <c r="B350">
        <v>1116</v>
      </c>
      <c r="C350">
        <v>1064</v>
      </c>
      <c r="D350">
        <v>3807.01</v>
      </c>
      <c r="E350" s="2">
        <v>44627</v>
      </c>
      <c r="F350" t="s">
        <v>357</v>
      </c>
      <c r="I350" t="str">
        <f t="shared" si="10"/>
        <v>OK</v>
      </c>
      <c r="J350" t="str">
        <f t="shared" si="11"/>
        <v>OK</v>
      </c>
      <c r="K350" t="str">
        <f>IF(ISNA(VLOOKUP(B350,Conturi!A:A,1,FALSE)),"Lipsă","OK")</f>
        <v>OK</v>
      </c>
      <c r="L350" t="str">
        <f>IF(ISBLANK(C350),"Retragere sau depunere",IF(ISNA(VLOOKUP(C350,Conturi!A:A,1,FALSE)),"Lipsă","OK"))</f>
        <v>OK</v>
      </c>
    </row>
    <row r="351" spans="1:12">
      <c r="A351">
        <v>365</v>
      </c>
      <c r="B351">
        <v>1116</v>
      </c>
      <c r="D351">
        <v>3930.35</v>
      </c>
      <c r="E351" s="2">
        <v>44865</v>
      </c>
      <c r="F351" t="s">
        <v>358</v>
      </c>
      <c r="I351" t="str">
        <f t="shared" si="10"/>
        <v>OK</v>
      </c>
      <c r="J351" t="str">
        <f t="shared" si="11"/>
        <v>Lipsă</v>
      </c>
      <c r="K351" t="str">
        <f>IF(ISNA(VLOOKUP(B351,Conturi!A:A,1,FALSE)),"Lipsă","OK")</f>
        <v>OK</v>
      </c>
      <c r="L351" t="str">
        <f>IF(ISBLANK(C351),"Retragere sau depunere",IF(ISNA(VLOOKUP(C351,Conturi!A:A,1,FALSE)),"Lipsă","OK"))</f>
        <v>Retragere sau depunere</v>
      </c>
    </row>
    <row r="352" spans="1:12">
      <c r="A352">
        <v>366</v>
      </c>
      <c r="B352">
        <v>1116</v>
      </c>
      <c r="D352">
        <v>3119.04</v>
      </c>
      <c r="E352" s="2">
        <v>44584</v>
      </c>
      <c r="F352" t="s">
        <v>358</v>
      </c>
      <c r="I352" t="str">
        <f t="shared" si="10"/>
        <v>OK</v>
      </c>
      <c r="J352" t="str">
        <f t="shared" si="11"/>
        <v>Lipsă</v>
      </c>
      <c r="K352" t="str">
        <f>IF(ISNA(VLOOKUP(B352,Conturi!A:A,1,FALSE)),"Lipsă","OK")</f>
        <v>OK</v>
      </c>
      <c r="L352" t="str">
        <f>IF(ISBLANK(C352),"Retragere sau depunere",IF(ISNA(VLOOKUP(C352,Conturi!A:A,1,FALSE)),"Lipsă","OK"))</f>
        <v>Retragere sau depunere</v>
      </c>
    </row>
    <row r="353" spans="1:12">
      <c r="A353">
        <v>367</v>
      </c>
      <c r="B353">
        <v>1117</v>
      </c>
      <c r="D353">
        <v>677.21</v>
      </c>
      <c r="E353" s="2">
        <v>44760</v>
      </c>
      <c r="F353" t="s">
        <v>356</v>
      </c>
      <c r="I353" t="str">
        <f t="shared" si="10"/>
        <v>OK</v>
      </c>
      <c r="J353" t="str">
        <f t="shared" si="11"/>
        <v>Lipsă</v>
      </c>
      <c r="K353" t="str">
        <f>IF(ISNA(VLOOKUP(B353,Conturi!A:A,1,FALSE)),"Lipsă","OK")</f>
        <v>OK</v>
      </c>
      <c r="L353" t="str">
        <f>IF(ISBLANK(C353),"Retragere sau depunere",IF(ISNA(VLOOKUP(C353,Conturi!A:A,1,FALSE)),"Lipsă","OK"))</f>
        <v>Retragere sau depunere</v>
      </c>
    </row>
    <row r="354" spans="1:12">
      <c r="A354">
        <v>368</v>
      </c>
      <c r="B354">
        <v>1117</v>
      </c>
      <c r="D354">
        <v>1871.64</v>
      </c>
      <c r="E354" s="2">
        <v>44785</v>
      </c>
      <c r="F354" t="s">
        <v>358</v>
      </c>
      <c r="I354" t="str">
        <f t="shared" si="10"/>
        <v>OK</v>
      </c>
      <c r="J354" t="str">
        <f t="shared" si="11"/>
        <v>Lipsă</v>
      </c>
      <c r="K354" t="str">
        <f>IF(ISNA(VLOOKUP(B354,Conturi!A:A,1,FALSE)),"Lipsă","OK")</f>
        <v>OK</v>
      </c>
      <c r="L354" t="str">
        <f>IF(ISBLANK(C354),"Retragere sau depunere",IF(ISNA(VLOOKUP(C354,Conturi!A:A,1,FALSE)),"Lipsă","OK"))</f>
        <v>Retragere sau depunere</v>
      </c>
    </row>
    <row r="355" spans="1:12">
      <c r="A355">
        <v>369</v>
      </c>
      <c r="B355">
        <v>1117</v>
      </c>
      <c r="D355">
        <v>2230.79</v>
      </c>
      <c r="E355" s="2">
        <v>44800</v>
      </c>
      <c r="F355" t="s">
        <v>356</v>
      </c>
      <c r="I355" t="str">
        <f t="shared" si="10"/>
        <v>OK</v>
      </c>
      <c r="J355" t="str">
        <f t="shared" si="11"/>
        <v>Lipsă</v>
      </c>
      <c r="K355" t="str">
        <f>IF(ISNA(VLOOKUP(B355,Conturi!A:A,1,FALSE)),"Lipsă","OK")</f>
        <v>OK</v>
      </c>
      <c r="L355" t="str">
        <f>IF(ISBLANK(C355),"Retragere sau depunere",IF(ISNA(VLOOKUP(C355,Conturi!A:A,1,FALSE)),"Lipsă","OK"))</f>
        <v>Retragere sau depunere</v>
      </c>
    </row>
    <row r="356" spans="1:12">
      <c r="A356">
        <v>370</v>
      </c>
      <c r="B356">
        <v>1118</v>
      </c>
      <c r="D356">
        <v>3886.36</v>
      </c>
      <c r="E356" s="2">
        <v>44925</v>
      </c>
      <c r="F356" t="s">
        <v>358</v>
      </c>
      <c r="I356" t="str">
        <f t="shared" si="10"/>
        <v>OK</v>
      </c>
      <c r="J356" t="str">
        <f t="shared" si="11"/>
        <v>Lipsă</v>
      </c>
      <c r="K356" t="str">
        <f>IF(ISNA(VLOOKUP(B356,Conturi!A:A,1,FALSE)),"Lipsă","OK")</f>
        <v>OK</v>
      </c>
      <c r="L356" t="str">
        <f>IF(ISBLANK(C356),"Retragere sau depunere",IF(ISNA(VLOOKUP(C356,Conturi!A:A,1,FALSE)),"Lipsă","OK"))</f>
        <v>Retragere sau depunere</v>
      </c>
    </row>
    <row r="357" spans="1:12">
      <c r="A357">
        <v>371</v>
      </c>
      <c r="B357">
        <v>1119</v>
      </c>
      <c r="D357">
        <v>4791.97</v>
      </c>
      <c r="E357" s="2">
        <v>44811</v>
      </c>
      <c r="F357" t="s">
        <v>358</v>
      </c>
      <c r="I357" t="str">
        <f t="shared" si="10"/>
        <v>OK</v>
      </c>
      <c r="J357" t="str">
        <f t="shared" si="11"/>
        <v>Lipsă</v>
      </c>
      <c r="K357" t="str">
        <f>IF(ISNA(VLOOKUP(B357,Conturi!A:A,1,FALSE)),"Lipsă","OK")</f>
        <v>OK</v>
      </c>
      <c r="L357" t="str">
        <f>IF(ISBLANK(C357),"Retragere sau depunere",IF(ISNA(VLOOKUP(C357,Conturi!A:A,1,FALSE)),"Lipsă","OK"))</f>
        <v>Retragere sau depunere</v>
      </c>
    </row>
    <row r="358" spans="1:12">
      <c r="A358">
        <v>372</v>
      </c>
      <c r="B358">
        <v>1119</v>
      </c>
      <c r="D358">
        <v>623.66</v>
      </c>
      <c r="E358" s="2">
        <v>44799</v>
      </c>
      <c r="F358" t="s">
        <v>358</v>
      </c>
      <c r="I358" t="str">
        <f t="shared" si="10"/>
        <v>OK</v>
      </c>
      <c r="J358" t="str">
        <f t="shared" si="11"/>
        <v>Lipsă</v>
      </c>
      <c r="K358" t="str">
        <f>IF(ISNA(VLOOKUP(B358,Conturi!A:A,1,FALSE)),"Lipsă","OK")</f>
        <v>OK</v>
      </c>
      <c r="L358" t="str">
        <f>IF(ISBLANK(C358),"Retragere sau depunere",IF(ISNA(VLOOKUP(C358,Conturi!A:A,1,FALSE)),"Lipsă","OK"))</f>
        <v>Retragere sau depunere</v>
      </c>
    </row>
    <row r="359" spans="1:12">
      <c r="A359">
        <v>373</v>
      </c>
      <c r="B359">
        <v>1120</v>
      </c>
      <c r="C359">
        <v>1020</v>
      </c>
      <c r="D359">
        <v>3675.75</v>
      </c>
      <c r="E359" s="2">
        <v>44824</v>
      </c>
      <c r="F359" t="s">
        <v>357</v>
      </c>
      <c r="I359" t="str">
        <f t="shared" si="10"/>
        <v>OK</v>
      </c>
      <c r="J359" t="str">
        <f t="shared" si="11"/>
        <v>OK</v>
      </c>
      <c r="K359" t="str">
        <f>IF(ISNA(VLOOKUP(B359,Conturi!A:A,1,FALSE)),"Lipsă","OK")</f>
        <v>OK</v>
      </c>
      <c r="L359" t="str">
        <f>IF(ISBLANK(C359),"Retragere sau depunere",IF(ISNA(VLOOKUP(C359,Conturi!A:A,1,FALSE)),"Lipsă","OK"))</f>
        <v>OK</v>
      </c>
    </row>
    <row r="360" spans="1:12">
      <c r="A360">
        <v>374</v>
      </c>
      <c r="B360">
        <v>1120</v>
      </c>
      <c r="D360">
        <v>2467.38</v>
      </c>
      <c r="E360" s="2">
        <v>44843</v>
      </c>
      <c r="F360" t="s">
        <v>356</v>
      </c>
      <c r="I360" t="str">
        <f t="shared" si="10"/>
        <v>OK</v>
      </c>
      <c r="J360" t="str">
        <f t="shared" si="11"/>
        <v>Lipsă</v>
      </c>
      <c r="K360" t="str">
        <f>IF(ISNA(VLOOKUP(B360,Conturi!A:A,1,FALSE)),"Lipsă","OK")</f>
        <v>OK</v>
      </c>
      <c r="L360" t="str">
        <f>IF(ISBLANK(C360),"Retragere sau depunere",IF(ISNA(VLOOKUP(C360,Conturi!A:A,1,FALSE)),"Lipsă","OK"))</f>
        <v>Retragere sau depunere</v>
      </c>
    </row>
    <row r="361" spans="1:12">
      <c r="A361">
        <v>375</v>
      </c>
      <c r="B361">
        <v>1120</v>
      </c>
      <c r="C361">
        <v>1101</v>
      </c>
      <c r="D361">
        <v>2426.71</v>
      </c>
      <c r="E361" s="2">
        <v>44787</v>
      </c>
      <c r="F361" t="s">
        <v>357</v>
      </c>
      <c r="I361" t="str">
        <f t="shared" si="10"/>
        <v>OK</v>
      </c>
      <c r="J361" t="str">
        <f t="shared" si="11"/>
        <v>OK</v>
      </c>
      <c r="K361" t="str">
        <f>IF(ISNA(VLOOKUP(B361,Conturi!A:A,1,FALSE)),"Lipsă","OK")</f>
        <v>OK</v>
      </c>
      <c r="L361" t="str">
        <f>IF(ISBLANK(C361),"Retragere sau depunere",IF(ISNA(VLOOKUP(C361,Conturi!A:A,1,FALSE)),"Lipsă","OK"))</f>
        <v>OK</v>
      </c>
    </row>
    <row r="362" spans="1:12">
      <c r="A362">
        <v>376</v>
      </c>
      <c r="B362">
        <v>1120</v>
      </c>
      <c r="D362">
        <v>678.48</v>
      </c>
      <c r="E362" s="2">
        <v>44596</v>
      </c>
      <c r="F362" t="s">
        <v>356</v>
      </c>
      <c r="I362" t="str">
        <f t="shared" si="10"/>
        <v>OK</v>
      </c>
      <c r="J362" t="str">
        <f t="shared" si="11"/>
        <v>Lipsă</v>
      </c>
      <c r="K362" t="str">
        <f>IF(ISNA(VLOOKUP(B362,Conturi!A:A,1,FALSE)),"Lipsă","OK")</f>
        <v>OK</v>
      </c>
      <c r="L362" t="str">
        <f>IF(ISBLANK(C362),"Retragere sau depunere",IF(ISNA(VLOOKUP(C362,Conturi!A:A,1,FALSE)),"Lipsă","OK"))</f>
        <v>Retragere sau depunere</v>
      </c>
    </row>
    <row r="363" spans="1:12">
      <c r="A363">
        <v>377</v>
      </c>
      <c r="B363">
        <v>1121</v>
      </c>
      <c r="D363">
        <v>4129.29</v>
      </c>
      <c r="E363" s="2">
        <v>44740</v>
      </c>
      <c r="F363" t="s">
        <v>358</v>
      </c>
      <c r="I363" t="str">
        <f t="shared" si="10"/>
        <v>OK</v>
      </c>
      <c r="J363" t="str">
        <f t="shared" si="11"/>
        <v>Lipsă</v>
      </c>
      <c r="K363" t="str">
        <f>IF(ISNA(VLOOKUP(B363,Conturi!A:A,1,FALSE)),"Lipsă","OK")</f>
        <v>OK</v>
      </c>
      <c r="L363" t="str">
        <f>IF(ISBLANK(C363),"Retragere sau depunere",IF(ISNA(VLOOKUP(C363,Conturi!A:A,1,FALSE)),"Lipsă","OK"))</f>
        <v>Retragere sau depunere</v>
      </c>
    </row>
    <row r="364" spans="1:12">
      <c r="A364">
        <v>378</v>
      </c>
      <c r="B364">
        <v>1121</v>
      </c>
      <c r="C364">
        <v>1097</v>
      </c>
      <c r="D364">
        <v>2065.62</v>
      </c>
      <c r="E364" s="2">
        <v>44715</v>
      </c>
      <c r="F364" t="s">
        <v>357</v>
      </c>
      <c r="I364" t="str">
        <f t="shared" si="10"/>
        <v>OK</v>
      </c>
      <c r="J364" t="str">
        <f t="shared" si="11"/>
        <v>OK</v>
      </c>
      <c r="K364" t="str">
        <f>IF(ISNA(VLOOKUP(B364,Conturi!A:A,1,FALSE)),"Lipsă","OK")</f>
        <v>OK</v>
      </c>
      <c r="L364" t="str">
        <f>IF(ISBLANK(C364),"Retragere sau depunere",IF(ISNA(VLOOKUP(C364,Conturi!A:A,1,FALSE)),"Lipsă","OK"))</f>
        <v>OK</v>
      </c>
    </row>
    <row r="365" spans="1:12">
      <c r="A365">
        <v>379</v>
      </c>
      <c r="B365">
        <v>1121</v>
      </c>
      <c r="D365">
        <v>4508.6499999999996</v>
      </c>
      <c r="E365" s="2">
        <v>44682</v>
      </c>
      <c r="F365" t="s">
        <v>356</v>
      </c>
      <c r="I365" t="str">
        <f t="shared" si="10"/>
        <v>OK</v>
      </c>
      <c r="J365" t="str">
        <f t="shared" si="11"/>
        <v>Lipsă</v>
      </c>
      <c r="K365" t="str">
        <f>IF(ISNA(VLOOKUP(B365,Conturi!A:A,1,FALSE)),"Lipsă","OK")</f>
        <v>OK</v>
      </c>
      <c r="L365" t="str">
        <f>IF(ISBLANK(C365),"Retragere sau depunere",IF(ISNA(VLOOKUP(C365,Conturi!A:A,1,FALSE)),"Lipsă","OK"))</f>
        <v>Retragere sau depunere</v>
      </c>
    </row>
    <row r="366" spans="1:12">
      <c r="A366">
        <v>380</v>
      </c>
      <c r="B366">
        <v>1122</v>
      </c>
      <c r="D366">
        <v>4421.47</v>
      </c>
      <c r="E366" s="2">
        <v>44738</v>
      </c>
      <c r="F366" t="s">
        <v>356</v>
      </c>
      <c r="I366" t="str">
        <f t="shared" si="10"/>
        <v>OK</v>
      </c>
      <c r="J366" t="str">
        <f t="shared" si="11"/>
        <v>Lipsă</v>
      </c>
      <c r="K366" t="str">
        <f>IF(ISNA(VLOOKUP(B366,Conturi!A:A,1,FALSE)),"Lipsă","OK")</f>
        <v>OK</v>
      </c>
      <c r="L366" t="str">
        <f>IF(ISBLANK(C366),"Retragere sau depunere",IF(ISNA(VLOOKUP(C366,Conturi!A:A,1,FALSE)),"Lipsă","OK"))</f>
        <v>Retragere sau depunere</v>
      </c>
    </row>
    <row r="367" spans="1:12">
      <c r="A367">
        <v>381</v>
      </c>
      <c r="B367">
        <v>1122</v>
      </c>
      <c r="D367">
        <v>1770.83</v>
      </c>
      <c r="E367" s="2">
        <v>44737</v>
      </c>
      <c r="F367" t="s">
        <v>356</v>
      </c>
      <c r="I367" t="str">
        <f t="shared" si="10"/>
        <v>OK</v>
      </c>
      <c r="J367" t="str">
        <f t="shared" si="11"/>
        <v>Lipsă</v>
      </c>
      <c r="K367" t="str">
        <f>IF(ISNA(VLOOKUP(B367,Conturi!A:A,1,FALSE)),"Lipsă","OK")</f>
        <v>OK</v>
      </c>
      <c r="L367" t="str">
        <f>IF(ISBLANK(C367),"Retragere sau depunere",IF(ISNA(VLOOKUP(C367,Conturi!A:A,1,FALSE)),"Lipsă","OK"))</f>
        <v>Retragere sau depunere</v>
      </c>
    </row>
    <row r="368" spans="1:12">
      <c r="A368">
        <v>382</v>
      </c>
      <c r="B368">
        <v>1122</v>
      </c>
      <c r="C368">
        <v>1022</v>
      </c>
      <c r="D368">
        <v>3526.88</v>
      </c>
      <c r="E368" s="2">
        <v>44755</v>
      </c>
      <c r="F368" t="s">
        <v>357</v>
      </c>
      <c r="I368" t="str">
        <f t="shared" si="10"/>
        <v>OK</v>
      </c>
      <c r="J368" t="str">
        <f t="shared" si="11"/>
        <v>OK</v>
      </c>
      <c r="K368" t="str">
        <f>IF(ISNA(VLOOKUP(B368,Conturi!A:A,1,FALSE)),"Lipsă","OK")</f>
        <v>OK</v>
      </c>
      <c r="L368" t="str">
        <f>IF(ISBLANK(C368),"Retragere sau depunere",IF(ISNA(VLOOKUP(C368,Conturi!A:A,1,FALSE)),"Lipsă","OK"))</f>
        <v>OK</v>
      </c>
    </row>
    <row r="369" spans="1:12">
      <c r="A369">
        <v>383</v>
      </c>
      <c r="B369">
        <v>1122</v>
      </c>
      <c r="D369">
        <v>1787.32</v>
      </c>
      <c r="E369" s="2">
        <v>44782</v>
      </c>
      <c r="F369" t="s">
        <v>356</v>
      </c>
      <c r="I369" t="str">
        <f t="shared" si="10"/>
        <v>OK</v>
      </c>
      <c r="J369" t="str">
        <f t="shared" si="11"/>
        <v>Lipsă</v>
      </c>
      <c r="K369" t="str">
        <f>IF(ISNA(VLOOKUP(B369,Conturi!A:A,1,FALSE)),"Lipsă","OK")</f>
        <v>OK</v>
      </c>
      <c r="L369" t="str">
        <f>IF(ISBLANK(C369),"Retragere sau depunere",IF(ISNA(VLOOKUP(C369,Conturi!A:A,1,FALSE)),"Lipsă","OK"))</f>
        <v>Retragere sau depunere</v>
      </c>
    </row>
    <row r="370" spans="1:12">
      <c r="A370">
        <v>384</v>
      </c>
      <c r="B370">
        <v>1123</v>
      </c>
      <c r="D370">
        <v>474.23</v>
      </c>
      <c r="E370" s="2">
        <v>44653</v>
      </c>
      <c r="F370" t="s">
        <v>358</v>
      </c>
      <c r="I370" t="str">
        <f t="shared" si="10"/>
        <v>OK</v>
      </c>
      <c r="J370" t="str">
        <f t="shared" si="11"/>
        <v>Lipsă</v>
      </c>
      <c r="K370" t="str">
        <f>IF(ISNA(VLOOKUP(B370,Conturi!A:A,1,FALSE)),"Lipsă","OK")</f>
        <v>OK</v>
      </c>
      <c r="L370" t="str">
        <f>IF(ISBLANK(C370),"Retragere sau depunere",IF(ISNA(VLOOKUP(C370,Conturi!A:A,1,FALSE)),"Lipsă","OK"))</f>
        <v>Retragere sau depunere</v>
      </c>
    </row>
    <row r="371" spans="1:12">
      <c r="A371">
        <v>385</v>
      </c>
      <c r="B371">
        <v>1123</v>
      </c>
      <c r="C371">
        <v>1164</v>
      </c>
      <c r="D371">
        <v>246.52</v>
      </c>
      <c r="E371" s="2">
        <v>44776</v>
      </c>
      <c r="F371" t="s">
        <v>357</v>
      </c>
      <c r="I371" t="str">
        <f t="shared" si="10"/>
        <v>OK</v>
      </c>
      <c r="J371" t="str">
        <f t="shared" si="11"/>
        <v>OK</v>
      </c>
      <c r="K371" t="str">
        <f>IF(ISNA(VLOOKUP(B371,Conturi!A:A,1,FALSE)),"Lipsă","OK")</f>
        <v>OK</v>
      </c>
      <c r="L371" t="str">
        <f>IF(ISBLANK(C371),"Retragere sau depunere",IF(ISNA(VLOOKUP(C371,Conturi!A:A,1,FALSE)),"Lipsă","OK"))</f>
        <v>OK</v>
      </c>
    </row>
    <row r="372" spans="1:12">
      <c r="A372">
        <v>386</v>
      </c>
      <c r="B372">
        <v>1124</v>
      </c>
      <c r="D372">
        <v>2420.31</v>
      </c>
      <c r="E372" s="2">
        <v>44767</v>
      </c>
      <c r="F372" t="s">
        <v>356</v>
      </c>
      <c r="I372" t="str">
        <f t="shared" si="10"/>
        <v>OK</v>
      </c>
      <c r="J372" t="str">
        <f t="shared" si="11"/>
        <v>Lipsă</v>
      </c>
      <c r="K372" t="str">
        <f>IF(ISNA(VLOOKUP(B372,Conturi!A:A,1,FALSE)),"Lipsă","OK")</f>
        <v>OK</v>
      </c>
      <c r="L372" t="str">
        <f>IF(ISBLANK(C372),"Retragere sau depunere",IF(ISNA(VLOOKUP(C372,Conturi!A:A,1,FALSE)),"Lipsă","OK"))</f>
        <v>Retragere sau depunere</v>
      </c>
    </row>
    <row r="373" spans="1:12">
      <c r="A373">
        <v>387</v>
      </c>
      <c r="B373">
        <v>1125</v>
      </c>
      <c r="D373">
        <v>2260.04</v>
      </c>
      <c r="E373" s="2">
        <v>44733</v>
      </c>
      <c r="F373" t="s">
        <v>358</v>
      </c>
      <c r="I373" t="str">
        <f t="shared" si="10"/>
        <v>OK</v>
      </c>
      <c r="J373" t="str">
        <f t="shared" si="11"/>
        <v>Lipsă</v>
      </c>
      <c r="K373" t="str">
        <f>IF(ISNA(VLOOKUP(B373,Conturi!A:A,1,FALSE)),"Lipsă","OK")</f>
        <v>OK</v>
      </c>
      <c r="L373" t="str">
        <f>IF(ISBLANK(C373),"Retragere sau depunere",IF(ISNA(VLOOKUP(C373,Conturi!A:A,1,FALSE)),"Lipsă","OK"))</f>
        <v>Retragere sau depunere</v>
      </c>
    </row>
    <row r="374" spans="1:12">
      <c r="A374">
        <v>388</v>
      </c>
      <c r="B374">
        <v>1125</v>
      </c>
      <c r="C374">
        <v>1003</v>
      </c>
      <c r="D374">
        <v>4667.68</v>
      </c>
      <c r="E374" s="2">
        <v>44603</v>
      </c>
      <c r="F374" t="s">
        <v>357</v>
      </c>
      <c r="I374" t="str">
        <f t="shared" si="10"/>
        <v>OK</v>
      </c>
      <c r="J374" t="str">
        <f t="shared" si="11"/>
        <v>OK</v>
      </c>
      <c r="K374" t="str">
        <f>IF(ISNA(VLOOKUP(B374,Conturi!A:A,1,FALSE)),"Lipsă","OK")</f>
        <v>OK</v>
      </c>
      <c r="L374" t="str">
        <f>IF(ISBLANK(C374),"Retragere sau depunere",IF(ISNA(VLOOKUP(C374,Conturi!A:A,1,FALSE)),"Lipsă","OK"))</f>
        <v>OK</v>
      </c>
    </row>
    <row r="375" spans="1:12">
      <c r="A375">
        <v>389</v>
      </c>
      <c r="B375">
        <v>1125</v>
      </c>
      <c r="D375">
        <v>3947.77</v>
      </c>
      <c r="E375" s="2">
        <v>44605</v>
      </c>
      <c r="F375" t="s">
        <v>356</v>
      </c>
      <c r="I375" t="str">
        <f t="shared" si="10"/>
        <v>OK</v>
      </c>
      <c r="J375" t="str">
        <f t="shared" si="11"/>
        <v>Lipsă</v>
      </c>
      <c r="K375" t="str">
        <f>IF(ISNA(VLOOKUP(B375,Conturi!A:A,1,FALSE)),"Lipsă","OK")</f>
        <v>OK</v>
      </c>
      <c r="L375" t="str">
        <f>IF(ISBLANK(C375),"Retragere sau depunere",IF(ISNA(VLOOKUP(C375,Conturi!A:A,1,FALSE)),"Lipsă","OK"))</f>
        <v>Retragere sau depunere</v>
      </c>
    </row>
    <row r="376" spans="1:12">
      <c r="A376">
        <v>390</v>
      </c>
      <c r="B376">
        <v>1125</v>
      </c>
      <c r="D376">
        <v>2566.64</v>
      </c>
      <c r="E376" s="2">
        <v>44798</v>
      </c>
      <c r="F376" t="s">
        <v>358</v>
      </c>
      <c r="I376" t="str">
        <f t="shared" si="10"/>
        <v>OK</v>
      </c>
      <c r="J376" t="str">
        <f t="shared" si="11"/>
        <v>Lipsă</v>
      </c>
      <c r="K376" t="str">
        <f>IF(ISNA(VLOOKUP(B376,Conturi!A:A,1,FALSE)),"Lipsă","OK")</f>
        <v>OK</v>
      </c>
      <c r="L376" t="str">
        <f>IF(ISBLANK(C376),"Retragere sau depunere",IF(ISNA(VLOOKUP(C376,Conturi!A:A,1,FALSE)),"Lipsă","OK"))</f>
        <v>Retragere sau depunere</v>
      </c>
    </row>
    <row r="377" spans="1:12">
      <c r="A377">
        <v>391</v>
      </c>
      <c r="B377">
        <v>1125</v>
      </c>
      <c r="D377">
        <v>1127.72</v>
      </c>
      <c r="E377" s="2">
        <v>44869</v>
      </c>
      <c r="F377" t="s">
        <v>358</v>
      </c>
      <c r="I377" t="str">
        <f t="shared" si="10"/>
        <v>OK</v>
      </c>
      <c r="J377" t="str">
        <f t="shared" si="11"/>
        <v>Lipsă</v>
      </c>
      <c r="K377" t="str">
        <f>IF(ISNA(VLOOKUP(B377,Conturi!A:A,1,FALSE)),"Lipsă","OK")</f>
        <v>OK</v>
      </c>
      <c r="L377" t="str">
        <f>IF(ISBLANK(C377),"Retragere sau depunere",IF(ISNA(VLOOKUP(C377,Conturi!A:A,1,FALSE)),"Lipsă","OK"))</f>
        <v>Retragere sau depunere</v>
      </c>
    </row>
    <row r="378" spans="1:12">
      <c r="A378">
        <v>392</v>
      </c>
      <c r="B378">
        <v>1126</v>
      </c>
      <c r="D378">
        <v>4925.41</v>
      </c>
      <c r="E378" s="2">
        <v>44732</v>
      </c>
      <c r="F378" t="s">
        <v>356</v>
      </c>
      <c r="I378" t="str">
        <f t="shared" si="10"/>
        <v>OK</v>
      </c>
      <c r="J378" t="str">
        <f t="shared" si="11"/>
        <v>Lipsă</v>
      </c>
      <c r="K378" t="str">
        <f>IF(ISNA(VLOOKUP(B378,Conturi!A:A,1,FALSE)),"Lipsă","OK")</f>
        <v>OK</v>
      </c>
      <c r="L378" t="str">
        <f>IF(ISBLANK(C378),"Retragere sau depunere",IF(ISNA(VLOOKUP(C378,Conturi!A:A,1,FALSE)),"Lipsă","OK"))</f>
        <v>Retragere sau depunere</v>
      </c>
    </row>
    <row r="379" spans="1:12">
      <c r="A379">
        <v>393</v>
      </c>
      <c r="B379">
        <v>1126</v>
      </c>
      <c r="C379">
        <v>1126</v>
      </c>
      <c r="D379">
        <v>2118.86</v>
      </c>
      <c r="E379" s="2">
        <v>44732</v>
      </c>
      <c r="F379" t="s">
        <v>357</v>
      </c>
      <c r="I379" t="str">
        <f t="shared" si="10"/>
        <v>OK</v>
      </c>
      <c r="J379" t="str">
        <f t="shared" si="11"/>
        <v>OK</v>
      </c>
      <c r="K379" t="str">
        <f>IF(ISNA(VLOOKUP(B379,Conturi!A:A,1,FALSE)),"Lipsă","OK")</f>
        <v>OK</v>
      </c>
      <c r="L379" t="str">
        <f>IF(ISBLANK(C379),"Retragere sau depunere",IF(ISNA(VLOOKUP(C379,Conturi!A:A,1,FALSE)),"Lipsă","OK"))</f>
        <v>OK</v>
      </c>
    </row>
    <row r="380" spans="1:12">
      <c r="A380">
        <v>394</v>
      </c>
      <c r="B380">
        <v>1126</v>
      </c>
      <c r="C380">
        <v>1164</v>
      </c>
      <c r="D380">
        <v>4322.82</v>
      </c>
      <c r="E380" s="2">
        <v>44689</v>
      </c>
      <c r="F380" t="s">
        <v>357</v>
      </c>
      <c r="I380" t="str">
        <f t="shared" si="10"/>
        <v>OK</v>
      </c>
      <c r="J380" t="str">
        <f t="shared" si="11"/>
        <v>OK</v>
      </c>
      <c r="K380" t="str">
        <f>IF(ISNA(VLOOKUP(B380,Conturi!A:A,1,FALSE)),"Lipsă","OK")</f>
        <v>OK</v>
      </c>
      <c r="L380" t="str">
        <f>IF(ISBLANK(C380),"Retragere sau depunere",IF(ISNA(VLOOKUP(C380,Conturi!A:A,1,FALSE)),"Lipsă","OK"))</f>
        <v>OK</v>
      </c>
    </row>
    <row r="381" spans="1:12">
      <c r="A381">
        <v>395</v>
      </c>
      <c r="B381">
        <v>1126</v>
      </c>
      <c r="D381">
        <v>2945.25</v>
      </c>
      <c r="E381" s="2">
        <v>44578</v>
      </c>
      <c r="F381" t="s">
        <v>358</v>
      </c>
      <c r="I381" t="str">
        <f t="shared" si="10"/>
        <v>OK</v>
      </c>
      <c r="J381" t="str">
        <f t="shared" si="11"/>
        <v>Lipsă</v>
      </c>
      <c r="K381" t="str">
        <f>IF(ISNA(VLOOKUP(B381,Conturi!A:A,1,FALSE)),"Lipsă","OK")</f>
        <v>OK</v>
      </c>
      <c r="L381" t="str">
        <f>IF(ISBLANK(C381),"Retragere sau depunere",IF(ISNA(VLOOKUP(C381,Conturi!A:A,1,FALSE)),"Lipsă","OK"))</f>
        <v>Retragere sau depunere</v>
      </c>
    </row>
    <row r="382" spans="1:12">
      <c r="A382">
        <v>396</v>
      </c>
      <c r="B382">
        <v>1127</v>
      </c>
      <c r="D382">
        <v>4050.75</v>
      </c>
      <c r="E382" s="2">
        <v>44708</v>
      </c>
      <c r="F382" t="s">
        <v>356</v>
      </c>
      <c r="I382" t="str">
        <f t="shared" si="10"/>
        <v>OK</v>
      </c>
      <c r="J382" t="str">
        <f t="shared" si="11"/>
        <v>Lipsă</v>
      </c>
      <c r="K382" t="str">
        <f>IF(ISNA(VLOOKUP(B382,Conturi!A:A,1,FALSE)),"Lipsă","OK")</f>
        <v>OK</v>
      </c>
      <c r="L382" t="str">
        <f>IF(ISBLANK(C382),"Retragere sau depunere",IF(ISNA(VLOOKUP(C382,Conturi!A:A,1,FALSE)),"Lipsă","OK"))</f>
        <v>Retragere sau depunere</v>
      </c>
    </row>
    <row r="383" spans="1:12">
      <c r="A383">
        <v>397</v>
      </c>
      <c r="B383">
        <v>1127</v>
      </c>
      <c r="D383">
        <v>3448.14</v>
      </c>
      <c r="E383" s="2">
        <v>44839</v>
      </c>
      <c r="F383" t="s">
        <v>356</v>
      </c>
      <c r="I383" t="str">
        <f t="shared" si="10"/>
        <v>OK</v>
      </c>
      <c r="J383" t="str">
        <f t="shared" si="11"/>
        <v>Lipsă</v>
      </c>
      <c r="K383" t="str">
        <f>IF(ISNA(VLOOKUP(B383,Conturi!A:A,1,FALSE)),"Lipsă","OK")</f>
        <v>OK</v>
      </c>
      <c r="L383" t="str">
        <f>IF(ISBLANK(C383),"Retragere sau depunere",IF(ISNA(VLOOKUP(C383,Conturi!A:A,1,FALSE)),"Lipsă","OK"))</f>
        <v>Retragere sau depunere</v>
      </c>
    </row>
    <row r="384" spans="1:12">
      <c r="A384">
        <v>398</v>
      </c>
      <c r="B384">
        <v>1127</v>
      </c>
      <c r="D384">
        <v>2780.21</v>
      </c>
      <c r="E384" s="2">
        <v>44604</v>
      </c>
      <c r="F384" t="s">
        <v>358</v>
      </c>
      <c r="I384" t="str">
        <f t="shared" si="10"/>
        <v>OK</v>
      </c>
      <c r="J384" t="str">
        <f t="shared" si="11"/>
        <v>Lipsă</v>
      </c>
      <c r="K384" t="str">
        <f>IF(ISNA(VLOOKUP(B384,Conturi!A:A,1,FALSE)),"Lipsă","OK")</f>
        <v>OK</v>
      </c>
      <c r="L384" t="str">
        <f>IF(ISBLANK(C384),"Retragere sau depunere",IF(ISNA(VLOOKUP(C384,Conturi!A:A,1,FALSE)),"Lipsă","OK"))</f>
        <v>Retragere sau depunere</v>
      </c>
    </row>
    <row r="385" spans="1:12">
      <c r="A385">
        <v>399</v>
      </c>
      <c r="B385">
        <v>1127</v>
      </c>
      <c r="D385">
        <v>4132.88</v>
      </c>
      <c r="E385" s="2">
        <v>44725</v>
      </c>
      <c r="F385" t="s">
        <v>358</v>
      </c>
      <c r="I385" t="str">
        <f t="shared" si="10"/>
        <v>OK</v>
      </c>
      <c r="J385" t="str">
        <f t="shared" si="11"/>
        <v>Lipsă</v>
      </c>
      <c r="K385" t="str">
        <f>IF(ISNA(VLOOKUP(B385,Conturi!A:A,1,FALSE)),"Lipsă","OK")</f>
        <v>OK</v>
      </c>
      <c r="L385" t="str">
        <f>IF(ISBLANK(C385),"Retragere sau depunere",IF(ISNA(VLOOKUP(C385,Conturi!A:A,1,FALSE)),"Lipsă","OK"))</f>
        <v>Retragere sau depunere</v>
      </c>
    </row>
    <row r="386" spans="1:12">
      <c r="A386">
        <v>400</v>
      </c>
      <c r="B386">
        <v>1128</v>
      </c>
      <c r="D386">
        <v>2733.98</v>
      </c>
      <c r="E386" s="2">
        <v>44926</v>
      </c>
      <c r="F386" t="s">
        <v>358</v>
      </c>
      <c r="I386" t="str">
        <f t="shared" si="10"/>
        <v>OK</v>
      </c>
      <c r="J386" t="str">
        <f t="shared" si="11"/>
        <v>Lipsă</v>
      </c>
      <c r="K386" t="str">
        <f>IF(ISNA(VLOOKUP(B386,Conturi!A:A,1,FALSE)),"Lipsă","OK")</f>
        <v>OK</v>
      </c>
      <c r="L386" t="str">
        <f>IF(ISBLANK(C386),"Retragere sau depunere",IF(ISNA(VLOOKUP(C386,Conturi!A:A,1,FALSE)),"Lipsă","OK"))</f>
        <v>Retragere sau depunere</v>
      </c>
    </row>
    <row r="387" spans="1:12">
      <c r="A387">
        <v>401</v>
      </c>
      <c r="B387">
        <v>1128</v>
      </c>
      <c r="D387">
        <v>1155.6199999999999</v>
      </c>
      <c r="E387" s="2">
        <v>44848</v>
      </c>
      <c r="F387" t="s">
        <v>356</v>
      </c>
      <c r="I387" t="str">
        <f t="shared" ref="I387:I450" si="12">IF(D387&lt;0,"Greșit","OK")</f>
        <v>OK</v>
      </c>
      <c r="J387" t="str">
        <f t="shared" ref="J387:J450" si="13">IF(ISBLANK(C387),"Lipsă","OK")</f>
        <v>Lipsă</v>
      </c>
      <c r="K387" t="str">
        <f>IF(ISNA(VLOOKUP(B387,Conturi!A:A,1,FALSE)),"Lipsă","OK")</f>
        <v>OK</v>
      </c>
      <c r="L387" t="str">
        <f>IF(ISBLANK(C387),"Retragere sau depunere",IF(ISNA(VLOOKUP(C387,Conturi!A:A,1,FALSE)),"Lipsă","OK"))</f>
        <v>Retragere sau depunere</v>
      </c>
    </row>
    <row r="388" spans="1:12">
      <c r="A388">
        <v>402</v>
      </c>
      <c r="B388">
        <v>1128</v>
      </c>
      <c r="D388">
        <v>692.38</v>
      </c>
      <c r="E388" s="2">
        <v>44729</v>
      </c>
      <c r="F388" t="s">
        <v>358</v>
      </c>
      <c r="I388" t="str">
        <f t="shared" si="12"/>
        <v>OK</v>
      </c>
      <c r="J388" t="str">
        <f t="shared" si="13"/>
        <v>Lipsă</v>
      </c>
      <c r="K388" t="str">
        <f>IF(ISNA(VLOOKUP(B388,Conturi!A:A,1,FALSE)),"Lipsă","OK")</f>
        <v>OK</v>
      </c>
      <c r="L388" t="str">
        <f>IF(ISBLANK(C388),"Retragere sau depunere",IF(ISNA(VLOOKUP(C388,Conturi!A:A,1,FALSE)),"Lipsă","OK"))</f>
        <v>Retragere sau depunere</v>
      </c>
    </row>
    <row r="389" spans="1:12">
      <c r="A389">
        <v>403</v>
      </c>
      <c r="B389">
        <v>1128</v>
      </c>
      <c r="D389">
        <v>1855.41</v>
      </c>
      <c r="E389" s="2">
        <v>44731</v>
      </c>
      <c r="F389" t="s">
        <v>358</v>
      </c>
      <c r="I389" t="str">
        <f t="shared" si="12"/>
        <v>OK</v>
      </c>
      <c r="J389" t="str">
        <f t="shared" si="13"/>
        <v>Lipsă</v>
      </c>
      <c r="K389" t="str">
        <f>IF(ISNA(VLOOKUP(B389,Conturi!A:A,1,FALSE)),"Lipsă","OK")</f>
        <v>OK</v>
      </c>
      <c r="L389" t="str">
        <f>IF(ISBLANK(C389),"Retragere sau depunere",IF(ISNA(VLOOKUP(C389,Conturi!A:A,1,FALSE)),"Lipsă","OK"))</f>
        <v>Retragere sau depunere</v>
      </c>
    </row>
    <row r="390" spans="1:12">
      <c r="A390">
        <v>404</v>
      </c>
      <c r="B390">
        <v>1128</v>
      </c>
      <c r="D390">
        <v>451.59</v>
      </c>
      <c r="E390" s="2">
        <v>44778</v>
      </c>
      <c r="F390" t="s">
        <v>356</v>
      </c>
      <c r="I390" t="str">
        <f t="shared" si="12"/>
        <v>OK</v>
      </c>
      <c r="J390" t="str">
        <f t="shared" si="13"/>
        <v>Lipsă</v>
      </c>
      <c r="K390" t="str">
        <f>IF(ISNA(VLOOKUP(B390,Conturi!A:A,1,FALSE)),"Lipsă","OK")</f>
        <v>OK</v>
      </c>
      <c r="L390" t="str">
        <f>IF(ISBLANK(C390),"Retragere sau depunere",IF(ISNA(VLOOKUP(C390,Conturi!A:A,1,FALSE)),"Lipsă","OK"))</f>
        <v>Retragere sau depunere</v>
      </c>
    </row>
    <row r="391" spans="1:12">
      <c r="A391">
        <v>405</v>
      </c>
      <c r="B391">
        <v>1129</v>
      </c>
      <c r="D391">
        <v>1409.45</v>
      </c>
      <c r="E391" s="2">
        <v>44888</v>
      </c>
      <c r="F391" t="s">
        <v>358</v>
      </c>
      <c r="I391" t="str">
        <f t="shared" si="12"/>
        <v>OK</v>
      </c>
      <c r="J391" t="str">
        <f t="shared" si="13"/>
        <v>Lipsă</v>
      </c>
      <c r="K391" t="str">
        <f>IF(ISNA(VLOOKUP(B391,Conturi!A:A,1,FALSE)),"Lipsă","OK")</f>
        <v>OK</v>
      </c>
      <c r="L391" t="str">
        <f>IF(ISBLANK(C391),"Retragere sau depunere",IF(ISNA(VLOOKUP(C391,Conturi!A:A,1,FALSE)),"Lipsă","OK"))</f>
        <v>Retragere sau depunere</v>
      </c>
    </row>
    <row r="392" spans="1:12">
      <c r="A392">
        <v>406</v>
      </c>
      <c r="B392">
        <v>1129</v>
      </c>
      <c r="D392">
        <v>4437.26</v>
      </c>
      <c r="E392" s="2">
        <v>44887</v>
      </c>
      <c r="F392" t="s">
        <v>358</v>
      </c>
      <c r="I392" t="str">
        <f t="shared" si="12"/>
        <v>OK</v>
      </c>
      <c r="J392" t="str">
        <f t="shared" si="13"/>
        <v>Lipsă</v>
      </c>
      <c r="K392" t="str">
        <f>IF(ISNA(VLOOKUP(B392,Conturi!A:A,1,FALSE)),"Lipsă","OK")</f>
        <v>OK</v>
      </c>
      <c r="L392" t="str">
        <f>IF(ISBLANK(C392),"Retragere sau depunere",IF(ISNA(VLOOKUP(C392,Conturi!A:A,1,FALSE)),"Lipsă","OK"))</f>
        <v>Retragere sau depunere</v>
      </c>
    </row>
    <row r="393" spans="1:12">
      <c r="A393">
        <v>407</v>
      </c>
      <c r="B393">
        <v>1129</v>
      </c>
      <c r="D393">
        <v>341.56</v>
      </c>
      <c r="E393" s="2">
        <v>44815</v>
      </c>
      <c r="F393" t="s">
        <v>358</v>
      </c>
      <c r="I393" t="str">
        <f t="shared" si="12"/>
        <v>OK</v>
      </c>
      <c r="J393" t="str">
        <f t="shared" si="13"/>
        <v>Lipsă</v>
      </c>
      <c r="K393" t="str">
        <f>IF(ISNA(VLOOKUP(B393,Conturi!A:A,1,FALSE)),"Lipsă","OK")</f>
        <v>OK</v>
      </c>
      <c r="L393" t="str">
        <f>IF(ISBLANK(C393),"Retragere sau depunere",IF(ISNA(VLOOKUP(C393,Conturi!A:A,1,FALSE)),"Lipsă","OK"))</f>
        <v>Retragere sau depunere</v>
      </c>
    </row>
    <row r="394" spans="1:12">
      <c r="A394">
        <v>408</v>
      </c>
      <c r="B394">
        <v>1129</v>
      </c>
      <c r="C394">
        <v>1018</v>
      </c>
      <c r="D394">
        <v>2580.5300000000002</v>
      </c>
      <c r="E394" s="2">
        <v>44689</v>
      </c>
      <c r="F394" t="s">
        <v>357</v>
      </c>
      <c r="I394" t="str">
        <f t="shared" si="12"/>
        <v>OK</v>
      </c>
      <c r="J394" t="str">
        <f t="shared" si="13"/>
        <v>OK</v>
      </c>
      <c r="K394" t="str">
        <f>IF(ISNA(VLOOKUP(B394,Conturi!A:A,1,FALSE)),"Lipsă","OK")</f>
        <v>OK</v>
      </c>
      <c r="L394" t="str">
        <f>IF(ISBLANK(C394),"Retragere sau depunere",IF(ISNA(VLOOKUP(C394,Conturi!A:A,1,FALSE)),"Lipsă","OK"))</f>
        <v>OK</v>
      </c>
    </row>
    <row r="395" spans="1:12">
      <c r="A395">
        <v>409</v>
      </c>
      <c r="B395">
        <v>1130</v>
      </c>
      <c r="C395">
        <v>1180</v>
      </c>
      <c r="D395">
        <v>2732</v>
      </c>
      <c r="E395" s="2">
        <v>44702</v>
      </c>
      <c r="F395" t="s">
        <v>357</v>
      </c>
      <c r="I395" t="str">
        <f t="shared" si="12"/>
        <v>OK</v>
      </c>
      <c r="J395" t="str">
        <f t="shared" si="13"/>
        <v>OK</v>
      </c>
      <c r="K395" t="str">
        <f>IF(ISNA(VLOOKUP(B395,Conturi!A:A,1,FALSE)),"Lipsă","OK")</f>
        <v>OK</v>
      </c>
      <c r="L395" t="str">
        <f>IF(ISBLANK(C395),"Retragere sau depunere",IF(ISNA(VLOOKUP(C395,Conturi!A:A,1,FALSE)),"Lipsă","OK"))</f>
        <v>OK</v>
      </c>
    </row>
    <row r="396" spans="1:12">
      <c r="A396">
        <v>410</v>
      </c>
      <c r="B396">
        <v>1130</v>
      </c>
      <c r="C396">
        <v>1166</v>
      </c>
      <c r="D396">
        <v>247.93</v>
      </c>
      <c r="E396" s="2">
        <v>44880</v>
      </c>
      <c r="F396" t="s">
        <v>357</v>
      </c>
      <c r="I396" t="str">
        <f t="shared" si="12"/>
        <v>OK</v>
      </c>
      <c r="J396" t="str">
        <f t="shared" si="13"/>
        <v>OK</v>
      </c>
      <c r="K396" t="str">
        <f>IF(ISNA(VLOOKUP(B396,Conturi!A:A,1,FALSE)),"Lipsă","OK")</f>
        <v>OK</v>
      </c>
      <c r="L396" t="str">
        <f>IF(ISBLANK(C396),"Retragere sau depunere",IF(ISNA(VLOOKUP(C396,Conturi!A:A,1,FALSE)),"Lipsă","OK"))</f>
        <v>OK</v>
      </c>
    </row>
    <row r="397" spans="1:12">
      <c r="A397">
        <v>411</v>
      </c>
      <c r="B397">
        <v>1130</v>
      </c>
      <c r="D397">
        <v>3074.39</v>
      </c>
      <c r="E397" s="2">
        <v>44685</v>
      </c>
      <c r="F397" t="s">
        <v>356</v>
      </c>
      <c r="I397" t="str">
        <f t="shared" si="12"/>
        <v>OK</v>
      </c>
      <c r="J397" t="str">
        <f t="shared" si="13"/>
        <v>Lipsă</v>
      </c>
      <c r="K397" t="str">
        <f>IF(ISNA(VLOOKUP(B397,Conturi!A:A,1,FALSE)),"Lipsă","OK")</f>
        <v>OK</v>
      </c>
      <c r="L397" t="str">
        <f>IF(ISBLANK(C397),"Retragere sau depunere",IF(ISNA(VLOOKUP(C397,Conturi!A:A,1,FALSE)),"Lipsă","OK"))</f>
        <v>Retragere sau depunere</v>
      </c>
    </row>
    <row r="398" spans="1:12">
      <c r="A398">
        <v>412</v>
      </c>
      <c r="B398">
        <v>1130</v>
      </c>
      <c r="C398">
        <v>1161</v>
      </c>
      <c r="D398">
        <v>260.32</v>
      </c>
      <c r="E398" s="2">
        <v>44612</v>
      </c>
      <c r="F398" t="s">
        <v>357</v>
      </c>
      <c r="I398" t="str">
        <f t="shared" si="12"/>
        <v>OK</v>
      </c>
      <c r="J398" t="str">
        <f t="shared" si="13"/>
        <v>OK</v>
      </c>
      <c r="K398" t="str">
        <f>IF(ISNA(VLOOKUP(B398,Conturi!A:A,1,FALSE)),"Lipsă","OK")</f>
        <v>OK</v>
      </c>
      <c r="L398" t="str">
        <f>IF(ISBLANK(C398),"Retragere sau depunere",IF(ISNA(VLOOKUP(C398,Conturi!A:A,1,FALSE)),"Lipsă","OK"))</f>
        <v>OK</v>
      </c>
    </row>
    <row r="399" spans="1:12">
      <c r="A399">
        <v>413</v>
      </c>
      <c r="B399">
        <v>1130</v>
      </c>
      <c r="C399">
        <v>1146</v>
      </c>
      <c r="D399">
        <v>1351.21</v>
      </c>
      <c r="E399" s="2">
        <v>44789</v>
      </c>
      <c r="F399" t="s">
        <v>357</v>
      </c>
      <c r="I399" t="str">
        <f t="shared" si="12"/>
        <v>OK</v>
      </c>
      <c r="J399" t="str">
        <f t="shared" si="13"/>
        <v>OK</v>
      </c>
      <c r="K399" t="str">
        <f>IF(ISNA(VLOOKUP(B399,Conturi!A:A,1,FALSE)),"Lipsă","OK")</f>
        <v>OK</v>
      </c>
      <c r="L399" t="str">
        <f>IF(ISBLANK(C399),"Retragere sau depunere",IF(ISNA(VLOOKUP(C399,Conturi!A:A,1,FALSE)),"Lipsă","OK"))</f>
        <v>OK</v>
      </c>
    </row>
    <row r="400" spans="1:12">
      <c r="A400">
        <v>414</v>
      </c>
      <c r="B400">
        <v>1131</v>
      </c>
      <c r="C400">
        <v>1085</v>
      </c>
      <c r="D400">
        <v>2421.4699999999998</v>
      </c>
      <c r="E400" s="2">
        <v>44749</v>
      </c>
      <c r="F400" t="s">
        <v>357</v>
      </c>
      <c r="I400" t="str">
        <f t="shared" si="12"/>
        <v>OK</v>
      </c>
      <c r="J400" t="str">
        <f t="shared" si="13"/>
        <v>OK</v>
      </c>
      <c r="K400" t="str">
        <f>IF(ISNA(VLOOKUP(B400,Conturi!A:A,1,FALSE)),"Lipsă","OK")</f>
        <v>OK</v>
      </c>
      <c r="L400" t="str">
        <f>IF(ISBLANK(C400),"Retragere sau depunere",IF(ISNA(VLOOKUP(C400,Conturi!A:A,1,FALSE)),"Lipsă","OK"))</f>
        <v>OK</v>
      </c>
    </row>
    <row r="401" spans="1:12">
      <c r="A401">
        <v>415</v>
      </c>
      <c r="B401">
        <v>1132</v>
      </c>
      <c r="D401">
        <v>695.85</v>
      </c>
      <c r="E401" s="2">
        <v>44763</v>
      </c>
      <c r="F401" t="s">
        <v>356</v>
      </c>
      <c r="I401" t="str">
        <f t="shared" si="12"/>
        <v>OK</v>
      </c>
      <c r="J401" t="str">
        <f t="shared" si="13"/>
        <v>Lipsă</v>
      </c>
      <c r="K401" t="str">
        <f>IF(ISNA(VLOOKUP(B401,Conturi!A:A,1,FALSE)),"Lipsă","OK")</f>
        <v>OK</v>
      </c>
      <c r="L401" t="str">
        <f>IF(ISBLANK(C401),"Retragere sau depunere",IF(ISNA(VLOOKUP(C401,Conturi!A:A,1,FALSE)),"Lipsă","OK"))</f>
        <v>Retragere sau depunere</v>
      </c>
    </row>
    <row r="402" spans="1:12">
      <c r="A402">
        <v>416</v>
      </c>
      <c r="B402">
        <v>1132</v>
      </c>
      <c r="D402">
        <v>2143.19</v>
      </c>
      <c r="E402" s="2">
        <v>44793</v>
      </c>
      <c r="F402" t="s">
        <v>358</v>
      </c>
      <c r="I402" t="str">
        <f t="shared" si="12"/>
        <v>OK</v>
      </c>
      <c r="J402" t="str">
        <f t="shared" si="13"/>
        <v>Lipsă</v>
      </c>
      <c r="K402" t="str">
        <f>IF(ISNA(VLOOKUP(B402,Conturi!A:A,1,FALSE)),"Lipsă","OK")</f>
        <v>OK</v>
      </c>
      <c r="L402" t="str">
        <f>IF(ISBLANK(C402),"Retragere sau depunere",IF(ISNA(VLOOKUP(C402,Conturi!A:A,1,FALSE)),"Lipsă","OK"))</f>
        <v>Retragere sau depunere</v>
      </c>
    </row>
    <row r="403" spans="1:12">
      <c r="A403">
        <v>417</v>
      </c>
      <c r="B403">
        <v>1132</v>
      </c>
      <c r="D403">
        <v>2991.75</v>
      </c>
      <c r="E403" s="2">
        <v>44875</v>
      </c>
      <c r="F403" t="s">
        <v>358</v>
      </c>
      <c r="I403" t="str">
        <f t="shared" si="12"/>
        <v>OK</v>
      </c>
      <c r="J403" t="str">
        <f t="shared" si="13"/>
        <v>Lipsă</v>
      </c>
      <c r="K403" t="str">
        <f>IF(ISNA(VLOOKUP(B403,Conturi!A:A,1,FALSE)),"Lipsă","OK")</f>
        <v>OK</v>
      </c>
      <c r="L403" t="str">
        <f>IF(ISBLANK(C403),"Retragere sau depunere",IF(ISNA(VLOOKUP(C403,Conturi!A:A,1,FALSE)),"Lipsă","OK"))</f>
        <v>Retragere sau depunere</v>
      </c>
    </row>
    <row r="404" spans="1:12">
      <c r="A404">
        <v>418</v>
      </c>
      <c r="B404">
        <v>1133</v>
      </c>
      <c r="D404">
        <v>1550.74</v>
      </c>
      <c r="E404" s="2">
        <v>44809</v>
      </c>
      <c r="F404" t="s">
        <v>356</v>
      </c>
      <c r="I404" t="str">
        <f t="shared" si="12"/>
        <v>OK</v>
      </c>
      <c r="J404" t="str">
        <f t="shared" si="13"/>
        <v>Lipsă</v>
      </c>
      <c r="K404" t="str">
        <f>IF(ISNA(VLOOKUP(B404,Conturi!A:A,1,FALSE)),"Lipsă","OK")</f>
        <v>OK</v>
      </c>
      <c r="L404" t="str">
        <f>IF(ISBLANK(C404),"Retragere sau depunere",IF(ISNA(VLOOKUP(C404,Conturi!A:A,1,FALSE)),"Lipsă","OK"))</f>
        <v>Retragere sau depunere</v>
      </c>
    </row>
    <row r="405" spans="1:12">
      <c r="A405">
        <v>419</v>
      </c>
      <c r="B405">
        <v>1133</v>
      </c>
      <c r="D405">
        <v>3307.15</v>
      </c>
      <c r="E405" s="2">
        <v>44740</v>
      </c>
      <c r="F405" t="s">
        <v>356</v>
      </c>
      <c r="I405" t="str">
        <f t="shared" si="12"/>
        <v>OK</v>
      </c>
      <c r="J405" t="str">
        <f t="shared" si="13"/>
        <v>Lipsă</v>
      </c>
      <c r="K405" t="str">
        <f>IF(ISNA(VLOOKUP(B405,Conturi!A:A,1,FALSE)),"Lipsă","OK")</f>
        <v>OK</v>
      </c>
      <c r="L405" t="str">
        <f>IF(ISBLANK(C405),"Retragere sau depunere",IF(ISNA(VLOOKUP(C405,Conturi!A:A,1,FALSE)),"Lipsă","OK"))</f>
        <v>Retragere sau depunere</v>
      </c>
    </row>
    <row r="406" spans="1:12">
      <c r="A406">
        <v>420</v>
      </c>
      <c r="B406">
        <v>1133</v>
      </c>
      <c r="D406">
        <v>3766.41</v>
      </c>
      <c r="E406" s="2">
        <v>44779</v>
      </c>
      <c r="F406" t="s">
        <v>358</v>
      </c>
      <c r="I406" t="str">
        <f t="shared" si="12"/>
        <v>OK</v>
      </c>
      <c r="J406" t="str">
        <f t="shared" si="13"/>
        <v>Lipsă</v>
      </c>
      <c r="K406" t="str">
        <f>IF(ISNA(VLOOKUP(B406,Conturi!A:A,1,FALSE)),"Lipsă","OK")</f>
        <v>OK</v>
      </c>
      <c r="L406" t="str">
        <f>IF(ISBLANK(C406),"Retragere sau depunere",IF(ISNA(VLOOKUP(C406,Conturi!A:A,1,FALSE)),"Lipsă","OK"))</f>
        <v>Retragere sau depunere</v>
      </c>
    </row>
    <row r="407" spans="1:12">
      <c r="A407">
        <v>421</v>
      </c>
      <c r="B407">
        <v>1133</v>
      </c>
      <c r="C407">
        <v>1054</v>
      </c>
      <c r="D407">
        <v>3289.33</v>
      </c>
      <c r="E407" s="2">
        <v>44758</v>
      </c>
      <c r="F407" t="s">
        <v>357</v>
      </c>
      <c r="I407" t="str">
        <f t="shared" si="12"/>
        <v>OK</v>
      </c>
      <c r="J407" t="str">
        <f t="shared" si="13"/>
        <v>OK</v>
      </c>
      <c r="K407" t="str">
        <f>IF(ISNA(VLOOKUP(B407,Conturi!A:A,1,FALSE)),"Lipsă","OK")</f>
        <v>OK</v>
      </c>
      <c r="L407" t="str">
        <f>IF(ISBLANK(C407),"Retragere sau depunere",IF(ISNA(VLOOKUP(C407,Conturi!A:A,1,FALSE)),"Lipsă","OK"))</f>
        <v>OK</v>
      </c>
    </row>
    <row r="408" spans="1:12">
      <c r="A408">
        <v>422</v>
      </c>
      <c r="B408">
        <v>1133</v>
      </c>
      <c r="D408">
        <v>514.45000000000005</v>
      </c>
      <c r="E408" s="2">
        <v>44630</v>
      </c>
      <c r="F408" t="s">
        <v>356</v>
      </c>
      <c r="I408" t="str">
        <f t="shared" si="12"/>
        <v>OK</v>
      </c>
      <c r="J408" t="str">
        <f t="shared" si="13"/>
        <v>Lipsă</v>
      </c>
      <c r="K408" t="str">
        <f>IF(ISNA(VLOOKUP(B408,Conturi!A:A,1,FALSE)),"Lipsă","OK")</f>
        <v>OK</v>
      </c>
      <c r="L408" t="str">
        <f>IF(ISBLANK(C408),"Retragere sau depunere",IF(ISNA(VLOOKUP(C408,Conturi!A:A,1,FALSE)),"Lipsă","OK"))</f>
        <v>Retragere sau depunere</v>
      </c>
    </row>
    <row r="409" spans="1:12">
      <c r="A409">
        <v>423</v>
      </c>
      <c r="B409">
        <v>1134</v>
      </c>
      <c r="D409">
        <v>3269.06</v>
      </c>
      <c r="E409" s="2">
        <v>44842</v>
      </c>
      <c r="F409" t="s">
        <v>356</v>
      </c>
      <c r="I409" t="str">
        <f t="shared" si="12"/>
        <v>OK</v>
      </c>
      <c r="J409" t="str">
        <f t="shared" si="13"/>
        <v>Lipsă</v>
      </c>
      <c r="K409" t="str">
        <f>IF(ISNA(VLOOKUP(B409,Conturi!A:A,1,FALSE)),"Lipsă","OK")</f>
        <v>OK</v>
      </c>
      <c r="L409" t="str">
        <f>IF(ISBLANK(C409),"Retragere sau depunere",IF(ISNA(VLOOKUP(C409,Conturi!A:A,1,FALSE)),"Lipsă","OK"))</f>
        <v>Retragere sau depunere</v>
      </c>
    </row>
    <row r="410" spans="1:12">
      <c r="A410">
        <v>424</v>
      </c>
      <c r="B410">
        <v>1134</v>
      </c>
      <c r="C410">
        <v>1075</v>
      </c>
      <c r="D410">
        <v>483.58</v>
      </c>
      <c r="E410" s="2">
        <v>44621</v>
      </c>
      <c r="F410" t="s">
        <v>357</v>
      </c>
      <c r="I410" t="str">
        <f t="shared" si="12"/>
        <v>OK</v>
      </c>
      <c r="J410" t="str">
        <f t="shared" si="13"/>
        <v>OK</v>
      </c>
      <c r="K410" t="str">
        <f>IF(ISNA(VLOOKUP(B410,Conturi!A:A,1,FALSE)),"Lipsă","OK")</f>
        <v>OK</v>
      </c>
      <c r="L410" t="str">
        <f>IF(ISBLANK(C410),"Retragere sau depunere",IF(ISNA(VLOOKUP(C410,Conturi!A:A,1,FALSE)),"Lipsă","OK"))</f>
        <v>OK</v>
      </c>
    </row>
    <row r="411" spans="1:12">
      <c r="A411">
        <v>425</v>
      </c>
      <c r="B411">
        <v>1134</v>
      </c>
      <c r="C411">
        <v>1139</v>
      </c>
      <c r="D411">
        <v>718.81</v>
      </c>
      <c r="E411" s="2">
        <v>44783</v>
      </c>
      <c r="F411" t="s">
        <v>357</v>
      </c>
      <c r="I411" t="str">
        <f t="shared" si="12"/>
        <v>OK</v>
      </c>
      <c r="J411" t="str">
        <f t="shared" si="13"/>
        <v>OK</v>
      </c>
      <c r="K411" t="str">
        <f>IF(ISNA(VLOOKUP(B411,Conturi!A:A,1,FALSE)),"Lipsă","OK")</f>
        <v>OK</v>
      </c>
      <c r="L411" t="str">
        <f>IF(ISBLANK(C411),"Retragere sau depunere",IF(ISNA(VLOOKUP(C411,Conturi!A:A,1,FALSE)),"Lipsă","OK"))</f>
        <v>OK</v>
      </c>
    </row>
    <row r="412" spans="1:12">
      <c r="A412">
        <v>426</v>
      </c>
      <c r="B412">
        <v>1134</v>
      </c>
      <c r="C412">
        <v>1175</v>
      </c>
      <c r="D412">
        <v>4469.41</v>
      </c>
      <c r="E412" s="2">
        <v>44605</v>
      </c>
      <c r="F412" t="s">
        <v>357</v>
      </c>
      <c r="I412" t="str">
        <f t="shared" si="12"/>
        <v>OK</v>
      </c>
      <c r="J412" t="str">
        <f t="shared" si="13"/>
        <v>OK</v>
      </c>
      <c r="K412" t="str">
        <f>IF(ISNA(VLOOKUP(B412,Conturi!A:A,1,FALSE)),"Lipsă","OK")</f>
        <v>OK</v>
      </c>
      <c r="L412" t="str">
        <f>IF(ISBLANK(C412),"Retragere sau depunere",IF(ISNA(VLOOKUP(C412,Conturi!A:A,1,FALSE)),"Lipsă","OK"))</f>
        <v>OK</v>
      </c>
    </row>
    <row r="413" spans="1:12">
      <c r="A413">
        <v>427</v>
      </c>
      <c r="B413">
        <v>1134</v>
      </c>
      <c r="D413">
        <v>4267.38</v>
      </c>
      <c r="E413" s="2">
        <v>44770</v>
      </c>
      <c r="F413" t="s">
        <v>356</v>
      </c>
      <c r="I413" t="str">
        <f t="shared" si="12"/>
        <v>OK</v>
      </c>
      <c r="J413" t="str">
        <f t="shared" si="13"/>
        <v>Lipsă</v>
      </c>
      <c r="K413" t="str">
        <f>IF(ISNA(VLOOKUP(B413,Conturi!A:A,1,FALSE)),"Lipsă","OK")</f>
        <v>OK</v>
      </c>
      <c r="L413" t="str">
        <f>IF(ISBLANK(C413),"Retragere sau depunere",IF(ISNA(VLOOKUP(C413,Conturi!A:A,1,FALSE)),"Lipsă","OK"))</f>
        <v>Retragere sau depunere</v>
      </c>
    </row>
    <row r="414" spans="1:12">
      <c r="A414">
        <v>428</v>
      </c>
      <c r="B414">
        <v>1135</v>
      </c>
      <c r="C414">
        <v>1022</v>
      </c>
      <c r="D414">
        <v>2911.74</v>
      </c>
      <c r="E414" s="2">
        <v>44890</v>
      </c>
      <c r="F414" t="s">
        <v>357</v>
      </c>
      <c r="I414" t="str">
        <f t="shared" si="12"/>
        <v>OK</v>
      </c>
      <c r="J414" t="str">
        <f t="shared" si="13"/>
        <v>OK</v>
      </c>
      <c r="K414" t="str">
        <f>IF(ISNA(VLOOKUP(B414,Conturi!A:A,1,FALSE)),"Lipsă","OK")</f>
        <v>OK</v>
      </c>
      <c r="L414" t="str">
        <f>IF(ISBLANK(C414),"Retragere sau depunere",IF(ISNA(VLOOKUP(C414,Conturi!A:A,1,FALSE)),"Lipsă","OK"))</f>
        <v>OK</v>
      </c>
    </row>
    <row r="415" spans="1:12">
      <c r="A415">
        <v>429</v>
      </c>
      <c r="B415">
        <v>1135</v>
      </c>
      <c r="D415">
        <v>4064.18</v>
      </c>
      <c r="E415" s="2">
        <v>44784</v>
      </c>
      <c r="F415" t="s">
        <v>358</v>
      </c>
      <c r="I415" t="str">
        <f t="shared" si="12"/>
        <v>OK</v>
      </c>
      <c r="J415" t="str">
        <f t="shared" si="13"/>
        <v>Lipsă</v>
      </c>
      <c r="K415" t="str">
        <f>IF(ISNA(VLOOKUP(B415,Conturi!A:A,1,FALSE)),"Lipsă","OK")</f>
        <v>OK</v>
      </c>
      <c r="L415" t="str">
        <f>IF(ISBLANK(C415),"Retragere sau depunere",IF(ISNA(VLOOKUP(C415,Conturi!A:A,1,FALSE)),"Lipsă","OK"))</f>
        <v>Retragere sau depunere</v>
      </c>
    </row>
    <row r="416" spans="1:12">
      <c r="A416">
        <v>430</v>
      </c>
      <c r="B416">
        <v>1135</v>
      </c>
      <c r="C416">
        <v>1176</v>
      </c>
      <c r="D416">
        <v>3296.15</v>
      </c>
      <c r="E416" s="2">
        <v>44763</v>
      </c>
      <c r="F416" t="s">
        <v>357</v>
      </c>
      <c r="I416" t="str">
        <f t="shared" si="12"/>
        <v>OK</v>
      </c>
      <c r="J416" t="str">
        <f t="shared" si="13"/>
        <v>OK</v>
      </c>
      <c r="K416" t="str">
        <f>IF(ISNA(VLOOKUP(B416,Conturi!A:A,1,FALSE)),"Lipsă","OK")</f>
        <v>OK</v>
      </c>
      <c r="L416" t="str">
        <f>IF(ISBLANK(C416),"Retragere sau depunere",IF(ISNA(VLOOKUP(C416,Conturi!A:A,1,FALSE)),"Lipsă","OK"))</f>
        <v>OK</v>
      </c>
    </row>
    <row r="417" spans="1:12">
      <c r="A417">
        <v>431</v>
      </c>
      <c r="B417">
        <v>1135</v>
      </c>
      <c r="D417">
        <v>4612.97</v>
      </c>
      <c r="E417" s="2">
        <v>44914</v>
      </c>
      <c r="F417" t="s">
        <v>358</v>
      </c>
      <c r="I417" t="str">
        <f t="shared" si="12"/>
        <v>OK</v>
      </c>
      <c r="J417" t="str">
        <f t="shared" si="13"/>
        <v>Lipsă</v>
      </c>
      <c r="K417" t="str">
        <f>IF(ISNA(VLOOKUP(B417,Conturi!A:A,1,FALSE)),"Lipsă","OK")</f>
        <v>OK</v>
      </c>
      <c r="L417" t="str">
        <f>IF(ISBLANK(C417),"Retragere sau depunere",IF(ISNA(VLOOKUP(C417,Conturi!A:A,1,FALSE)),"Lipsă","OK"))</f>
        <v>Retragere sau depunere</v>
      </c>
    </row>
    <row r="418" spans="1:12">
      <c r="A418">
        <v>432</v>
      </c>
      <c r="B418">
        <v>1135</v>
      </c>
      <c r="C418">
        <v>1041</v>
      </c>
      <c r="D418">
        <v>2337.4699999999998</v>
      </c>
      <c r="E418" s="2">
        <v>44855</v>
      </c>
      <c r="F418" t="s">
        <v>357</v>
      </c>
      <c r="I418" t="str">
        <f t="shared" si="12"/>
        <v>OK</v>
      </c>
      <c r="J418" t="str">
        <f t="shared" si="13"/>
        <v>OK</v>
      </c>
      <c r="K418" t="str">
        <f>IF(ISNA(VLOOKUP(B418,Conturi!A:A,1,FALSE)),"Lipsă","OK")</f>
        <v>OK</v>
      </c>
      <c r="L418" t="str">
        <f>IF(ISBLANK(C418),"Retragere sau depunere",IF(ISNA(VLOOKUP(C418,Conturi!A:A,1,FALSE)),"Lipsă","OK"))</f>
        <v>OK</v>
      </c>
    </row>
    <row r="419" spans="1:12">
      <c r="A419">
        <v>433</v>
      </c>
      <c r="B419">
        <v>1136</v>
      </c>
      <c r="D419">
        <v>3900.33</v>
      </c>
      <c r="E419" s="2">
        <v>44706</v>
      </c>
      <c r="F419" t="s">
        <v>356</v>
      </c>
      <c r="I419" t="str">
        <f t="shared" si="12"/>
        <v>OK</v>
      </c>
      <c r="J419" t="str">
        <f t="shared" si="13"/>
        <v>Lipsă</v>
      </c>
      <c r="K419" t="str">
        <f>IF(ISNA(VLOOKUP(B419,Conturi!A:A,1,FALSE)),"Lipsă","OK")</f>
        <v>OK</v>
      </c>
      <c r="L419" t="str">
        <f>IF(ISBLANK(C419),"Retragere sau depunere",IF(ISNA(VLOOKUP(C419,Conturi!A:A,1,FALSE)),"Lipsă","OK"))</f>
        <v>Retragere sau depunere</v>
      </c>
    </row>
    <row r="420" spans="1:12">
      <c r="A420">
        <v>434</v>
      </c>
      <c r="B420">
        <v>1136</v>
      </c>
      <c r="D420">
        <v>4191.62</v>
      </c>
      <c r="E420" s="2">
        <v>44872</v>
      </c>
      <c r="F420" t="s">
        <v>356</v>
      </c>
      <c r="I420" t="str">
        <f t="shared" si="12"/>
        <v>OK</v>
      </c>
      <c r="J420" t="str">
        <f t="shared" si="13"/>
        <v>Lipsă</v>
      </c>
      <c r="K420" t="str">
        <f>IF(ISNA(VLOOKUP(B420,Conturi!A:A,1,FALSE)),"Lipsă","OK")</f>
        <v>OK</v>
      </c>
      <c r="L420" t="str">
        <f>IF(ISBLANK(C420),"Retragere sau depunere",IF(ISNA(VLOOKUP(C420,Conturi!A:A,1,FALSE)),"Lipsă","OK"))</f>
        <v>Retragere sau depunere</v>
      </c>
    </row>
    <row r="421" spans="1:12">
      <c r="A421">
        <v>435</v>
      </c>
      <c r="B421">
        <v>1136</v>
      </c>
      <c r="D421">
        <v>701.2</v>
      </c>
      <c r="E421" s="2">
        <v>44620</v>
      </c>
      <c r="F421" t="s">
        <v>356</v>
      </c>
      <c r="I421" t="str">
        <f t="shared" si="12"/>
        <v>OK</v>
      </c>
      <c r="J421" t="str">
        <f t="shared" si="13"/>
        <v>Lipsă</v>
      </c>
      <c r="K421" t="str">
        <f>IF(ISNA(VLOOKUP(B421,Conturi!A:A,1,FALSE)),"Lipsă","OK")</f>
        <v>OK</v>
      </c>
      <c r="L421" t="str">
        <f>IF(ISBLANK(C421),"Retragere sau depunere",IF(ISNA(VLOOKUP(C421,Conturi!A:A,1,FALSE)),"Lipsă","OK"))</f>
        <v>Retragere sau depunere</v>
      </c>
    </row>
    <row r="422" spans="1:12">
      <c r="A422">
        <v>436</v>
      </c>
      <c r="B422">
        <v>1137</v>
      </c>
      <c r="C422">
        <v>1134</v>
      </c>
      <c r="D422">
        <v>638.38</v>
      </c>
      <c r="E422" s="2">
        <v>44837</v>
      </c>
      <c r="F422" t="s">
        <v>357</v>
      </c>
      <c r="I422" t="str">
        <f t="shared" si="12"/>
        <v>OK</v>
      </c>
      <c r="J422" t="str">
        <f t="shared" si="13"/>
        <v>OK</v>
      </c>
      <c r="K422" t="str">
        <f>IF(ISNA(VLOOKUP(B422,Conturi!A:A,1,FALSE)),"Lipsă","OK")</f>
        <v>OK</v>
      </c>
      <c r="L422" t="str">
        <f>IF(ISBLANK(C422),"Retragere sau depunere",IF(ISNA(VLOOKUP(C422,Conturi!A:A,1,FALSE)),"Lipsă","OK"))</f>
        <v>OK</v>
      </c>
    </row>
    <row r="423" spans="1:12">
      <c r="A423">
        <v>437</v>
      </c>
      <c r="B423">
        <v>1137</v>
      </c>
      <c r="D423">
        <v>2351.9</v>
      </c>
      <c r="E423" s="2">
        <v>44872</v>
      </c>
      <c r="F423" t="s">
        <v>358</v>
      </c>
      <c r="I423" t="str">
        <f t="shared" si="12"/>
        <v>OK</v>
      </c>
      <c r="J423" t="str">
        <f t="shared" si="13"/>
        <v>Lipsă</v>
      </c>
      <c r="K423" t="str">
        <f>IF(ISNA(VLOOKUP(B423,Conturi!A:A,1,FALSE)),"Lipsă","OK")</f>
        <v>OK</v>
      </c>
      <c r="L423" t="str">
        <f>IF(ISBLANK(C423),"Retragere sau depunere",IF(ISNA(VLOOKUP(C423,Conturi!A:A,1,FALSE)),"Lipsă","OK"))</f>
        <v>Retragere sau depunere</v>
      </c>
    </row>
    <row r="424" spans="1:12">
      <c r="A424">
        <v>438</v>
      </c>
      <c r="B424">
        <v>1137</v>
      </c>
      <c r="D424">
        <v>3151.66</v>
      </c>
      <c r="E424" s="2">
        <v>44921</v>
      </c>
      <c r="F424" t="s">
        <v>358</v>
      </c>
      <c r="I424" t="str">
        <f t="shared" si="12"/>
        <v>OK</v>
      </c>
      <c r="J424" t="str">
        <f t="shared" si="13"/>
        <v>Lipsă</v>
      </c>
      <c r="K424" t="str">
        <f>IF(ISNA(VLOOKUP(B424,Conturi!A:A,1,FALSE)),"Lipsă","OK")</f>
        <v>OK</v>
      </c>
      <c r="L424" t="str">
        <f>IF(ISBLANK(C424),"Retragere sau depunere",IF(ISNA(VLOOKUP(C424,Conturi!A:A,1,FALSE)),"Lipsă","OK"))</f>
        <v>Retragere sau depunere</v>
      </c>
    </row>
    <row r="425" spans="1:12">
      <c r="A425">
        <v>439</v>
      </c>
      <c r="B425">
        <v>1137</v>
      </c>
      <c r="C425">
        <v>1069</v>
      </c>
      <c r="D425">
        <v>2887.39</v>
      </c>
      <c r="E425" s="2">
        <v>44693</v>
      </c>
      <c r="F425" t="s">
        <v>357</v>
      </c>
      <c r="I425" t="str">
        <f t="shared" si="12"/>
        <v>OK</v>
      </c>
      <c r="J425" t="str">
        <f t="shared" si="13"/>
        <v>OK</v>
      </c>
      <c r="K425" t="str">
        <f>IF(ISNA(VLOOKUP(B425,Conturi!A:A,1,FALSE)),"Lipsă","OK")</f>
        <v>OK</v>
      </c>
      <c r="L425" t="str">
        <f>IF(ISBLANK(C425),"Retragere sau depunere",IF(ISNA(VLOOKUP(C425,Conturi!A:A,1,FALSE)),"Lipsă","OK"))</f>
        <v>OK</v>
      </c>
    </row>
    <row r="426" spans="1:12">
      <c r="A426">
        <v>440</v>
      </c>
      <c r="B426">
        <v>1138</v>
      </c>
      <c r="D426">
        <v>3059.64</v>
      </c>
      <c r="E426" s="2">
        <v>44804</v>
      </c>
      <c r="F426" t="s">
        <v>356</v>
      </c>
      <c r="I426" t="str">
        <f t="shared" si="12"/>
        <v>OK</v>
      </c>
      <c r="J426" t="str">
        <f t="shared" si="13"/>
        <v>Lipsă</v>
      </c>
      <c r="K426" t="str">
        <f>IF(ISNA(VLOOKUP(B426,Conturi!A:A,1,FALSE)),"Lipsă","OK")</f>
        <v>OK</v>
      </c>
      <c r="L426" t="str">
        <f>IF(ISBLANK(C426),"Retragere sau depunere",IF(ISNA(VLOOKUP(C426,Conturi!A:A,1,FALSE)),"Lipsă","OK"))</f>
        <v>Retragere sau depunere</v>
      </c>
    </row>
    <row r="427" spans="1:12">
      <c r="A427">
        <v>441</v>
      </c>
      <c r="B427">
        <v>1139</v>
      </c>
      <c r="D427">
        <v>179.62</v>
      </c>
      <c r="E427" s="2">
        <v>44664</v>
      </c>
      <c r="F427" t="s">
        <v>358</v>
      </c>
      <c r="I427" t="str">
        <f t="shared" si="12"/>
        <v>OK</v>
      </c>
      <c r="J427" t="str">
        <f t="shared" si="13"/>
        <v>Lipsă</v>
      </c>
      <c r="K427" t="str">
        <f>IF(ISNA(VLOOKUP(B427,Conturi!A:A,1,FALSE)),"Lipsă","OK")</f>
        <v>OK</v>
      </c>
      <c r="L427" t="str">
        <f>IF(ISBLANK(C427),"Retragere sau depunere",IF(ISNA(VLOOKUP(C427,Conturi!A:A,1,FALSE)),"Lipsă","OK"))</f>
        <v>Retragere sau depunere</v>
      </c>
    </row>
    <row r="428" spans="1:12">
      <c r="A428">
        <v>442</v>
      </c>
      <c r="B428">
        <v>1140</v>
      </c>
      <c r="D428">
        <v>349.65</v>
      </c>
      <c r="E428" s="2">
        <v>44627</v>
      </c>
      <c r="F428" t="s">
        <v>358</v>
      </c>
      <c r="I428" t="str">
        <f t="shared" si="12"/>
        <v>OK</v>
      </c>
      <c r="J428" t="str">
        <f t="shared" si="13"/>
        <v>Lipsă</v>
      </c>
      <c r="K428" t="str">
        <f>IF(ISNA(VLOOKUP(B428,Conturi!A:A,1,FALSE)),"Lipsă","OK")</f>
        <v>OK</v>
      </c>
      <c r="L428" t="str">
        <f>IF(ISBLANK(C428),"Retragere sau depunere",IF(ISNA(VLOOKUP(C428,Conturi!A:A,1,FALSE)),"Lipsă","OK"))</f>
        <v>Retragere sau depunere</v>
      </c>
    </row>
    <row r="429" spans="1:12">
      <c r="A429">
        <v>443</v>
      </c>
      <c r="B429">
        <v>1140</v>
      </c>
      <c r="D429">
        <v>3527.85</v>
      </c>
      <c r="E429" s="2">
        <v>44926</v>
      </c>
      <c r="F429" t="s">
        <v>356</v>
      </c>
      <c r="I429" t="str">
        <f t="shared" si="12"/>
        <v>OK</v>
      </c>
      <c r="J429" t="str">
        <f t="shared" si="13"/>
        <v>Lipsă</v>
      </c>
      <c r="K429" t="str">
        <f>IF(ISNA(VLOOKUP(B429,Conturi!A:A,1,FALSE)),"Lipsă","OK")</f>
        <v>OK</v>
      </c>
      <c r="L429" t="str">
        <f>IF(ISBLANK(C429),"Retragere sau depunere",IF(ISNA(VLOOKUP(C429,Conturi!A:A,1,FALSE)),"Lipsă","OK"))</f>
        <v>Retragere sau depunere</v>
      </c>
    </row>
    <row r="430" spans="1:12">
      <c r="A430">
        <v>444</v>
      </c>
      <c r="B430">
        <v>1140</v>
      </c>
      <c r="C430">
        <v>1036</v>
      </c>
      <c r="D430">
        <v>2363.5100000000002</v>
      </c>
      <c r="E430" s="2">
        <v>44651</v>
      </c>
      <c r="F430" t="s">
        <v>357</v>
      </c>
      <c r="I430" t="str">
        <f t="shared" si="12"/>
        <v>OK</v>
      </c>
      <c r="J430" t="str">
        <f t="shared" si="13"/>
        <v>OK</v>
      </c>
      <c r="K430" t="str">
        <f>IF(ISNA(VLOOKUP(B430,Conturi!A:A,1,FALSE)),"Lipsă","OK")</f>
        <v>OK</v>
      </c>
      <c r="L430" t="str">
        <f>IF(ISBLANK(C430),"Retragere sau depunere",IF(ISNA(VLOOKUP(C430,Conturi!A:A,1,FALSE)),"Lipsă","OK"))</f>
        <v>OK</v>
      </c>
    </row>
    <row r="431" spans="1:12">
      <c r="A431">
        <v>445</v>
      </c>
      <c r="B431">
        <v>1141</v>
      </c>
      <c r="D431">
        <v>3799.41</v>
      </c>
      <c r="E431" s="2">
        <v>44908</v>
      </c>
      <c r="F431" t="s">
        <v>356</v>
      </c>
      <c r="I431" t="str">
        <f t="shared" si="12"/>
        <v>OK</v>
      </c>
      <c r="J431" t="str">
        <f t="shared" si="13"/>
        <v>Lipsă</v>
      </c>
      <c r="K431" t="str">
        <f>IF(ISNA(VLOOKUP(B431,Conturi!A:A,1,FALSE)),"Lipsă","OK")</f>
        <v>OK</v>
      </c>
      <c r="L431" t="str">
        <f>IF(ISBLANK(C431),"Retragere sau depunere",IF(ISNA(VLOOKUP(C431,Conturi!A:A,1,FALSE)),"Lipsă","OK"))</f>
        <v>Retragere sau depunere</v>
      </c>
    </row>
    <row r="432" spans="1:12">
      <c r="A432">
        <v>446</v>
      </c>
      <c r="B432">
        <v>1141</v>
      </c>
      <c r="C432">
        <v>1109</v>
      </c>
      <c r="D432">
        <v>100.38</v>
      </c>
      <c r="E432" s="2">
        <v>44915</v>
      </c>
      <c r="F432" t="s">
        <v>357</v>
      </c>
      <c r="I432" t="str">
        <f t="shared" si="12"/>
        <v>OK</v>
      </c>
      <c r="J432" t="str">
        <f t="shared" si="13"/>
        <v>OK</v>
      </c>
      <c r="K432" t="str">
        <f>IF(ISNA(VLOOKUP(B432,Conturi!A:A,1,FALSE)),"Lipsă","OK")</f>
        <v>OK</v>
      </c>
      <c r="L432" t="str">
        <f>IF(ISBLANK(C432),"Retragere sau depunere",IF(ISNA(VLOOKUP(C432,Conturi!A:A,1,FALSE)),"Lipsă","OK"))</f>
        <v>OK</v>
      </c>
    </row>
    <row r="433" spans="1:12">
      <c r="A433">
        <v>447</v>
      </c>
      <c r="B433">
        <v>1141</v>
      </c>
      <c r="D433">
        <v>333.84</v>
      </c>
      <c r="E433" s="2">
        <v>44848</v>
      </c>
      <c r="F433" t="s">
        <v>356</v>
      </c>
      <c r="I433" t="str">
        <f t="shared" si="12"/>
        <v>OK</v>
      </c>
      <c r="J433" t="str">
        <f t="shared" si="13"/>
        <v>Lipsă</v>
      </c>
      <c r="K433" t="str">
        <f>IF(ISNA(VLOOKUP(B433,Conturi!A:A,1,FALSE)),"Lipsă","OK")</f>
        <v>OK</v>
      </c>
      <c r="L433" t="str">
        <f>IF(ISBLANK(C433),"Retragere sau depunere",IF(ISNA(VLOOKUP(C433,Conturi!A:A,1,FALSE)),"Lipsă","OK"))</f>
        <v>Retragere sau depunere</v>
      </c>
    </row>
    <row r="434" spans="1:12">
      <c r="A434">
        <v>448</v>
      </c>
      <c r="B434">
        <v>1141</v>
      </c>
      <c r="C434">
        <v>1070</v>
      </c>
      <c r="D434">
        <v>4718.8999999999996</v>
      </c>
      <c r="E434" s="2">
        <v>44867</v>
      </c>
      <c r="F434" t="s">
        <v>357</v>
      </c>
      <c r="I434" t="str">
        <f t="shared" si="12"/>
        <v>OK</v>
      </c>
      <c r="J434" t="str">
        <f t="shared" si="13"/>
        <v>OK</v>
      </c>
      <c r="K434" t="str">
        <f>IF(ISNA(VLOOKUP(B434,Conturi!A:A,1,FALSE)),"Lipsă","OK")</f>
        <v>OK</v>
      </c>
      <c r="L434" t="str">
        <f>IF(ISBLANK(C434),"Retragere sau depunere",IF(ISNA(VLOOKUP(C434,Conturi!A:A,1,FALSE)),"Lipsă","OK"))</f>
        <v>OK</v>
      </c>
    </row>
    <row r="435" spans="1:12">
      <c r="A435">
        <v>449</v>
      </c>
      <c r="B435">
        <v>1141</v>
      </c>
      <c r="D435">
        <v>158.01</v>
      </c>
      <c r="E435" s="2">
        <v>44785</v>
      </c>
      <c r="F435" t="s">
        <v>358</v>
      </c>
      <c r="I435" t="str">
        <f t="shared" si="12"/>
        <v>OK</v>
      </c>
      <c r="J435" t="str">
        <f t="shared" si="13"/>
        <v>Lipsă</v>
      </c>
      <c r="K435" t="str">
        <f>IF(ISNA(VLOOKUP(B435,Conturi!A:A,1,FALSE)),"Lipsă","OK")</f>
        <v>OK</v>
      </c>
      <c r="L435" t="str">
        <f>IF(ISBLANK(C435),"Retragere sau depunere",IF(ISNA(VLOOKUP(C435,Conturi!A:A,1,FALSE)),"Lipsă","OK"))</f>
        <v>Retragere sau depunere</v>
      </c>
    </row>
    <row r="436" spans="1:12">
      <c r="A436">
        <v>450</v>
      </c>
      <c r="B436">
        <v>1142</v>
      </c>
      <c r="C436">
        <v>1055</v>
      </c>
      <c r="D436">
        <v>262.08999999999997</v>
      </c>
      <c r="E436" s="2">
        <v>44819</v>
      </c>
      <c r="F436" t="s">
        <v>357</v>
      </c>
      <c r="I436" t="str">
        <f t="shared" si="12"/>
        <v>OK</v>
      </c>
      <c r="J436" t="str">
        <f t="shared" si="13"/>
        <v>OK</v>
      </c>
      <c r="K436" t="str">
        <f>IF(ISNA(VLOOKUP(B436,Conturi!A:A,1,FALSE)),"Lipsă","OK")</f>
        <v>OK</v>
      </c>
      <c r="L436" t="str">
        <f>IF(ISBLANK(C436),"Retragere sau depunere",IF(ISNA(VLOOKUP(C436,Conturi!A:A,1,FALSE)),"Lipsă","OK"))</f>
        <v>OK</v>
      </c>
    </row>
    <row r="437" spans="1:12">
      <c r="A437">
        <v>451</v>
      </c>
      <c r="B437">
        <v>1142</v>
      </c>
      <c r="C437">
        <v>1184</v>
      </c>
      <c r="D437">
        <v>4240.82</v>
      </c>
      <c r="E437" s="2">
        <v>44632</v>
      </c>
      <c r="F437" t="s">
        <v>357</v>
      </c>
      <c r="I437" t="str">
        <f t="shared" si="12"/>
        <v>OK</v>
      </c>
      <c r="J437" t="str">
        <f t="shared" si="13"/>
        <v>OK</v>
      </c>
      <c r="K437" t="str">
        <f>IF(ISNA(VLOOKUP(B437,Conturi!A:A,1,FALSE)),"Lipsă","OK")</f>
        <v>OK</v>
      </c>
      <c r="L437" t="str">
        <f>IF(ISBLANK(C437),"Retragere sau depunere",IF(ISNA(VLOOKUP(C437,Conturi!A:A,1,FALSE)),"Lipsă","OK"))</f>
        <v>OK</v>
      </c>
    </row>
    <row r="438" spans="1:12">
      <c r="A438">
        <v>452</v>
      </c>
      <c r="B438">
        <v>1142</v>
      </c>
      <c r="D438">
        <v>3485.01</v>
      </c>
      <c r="E438" s="2">
        <v>44757</v>
      </c>
      <c r="F438" t="s">
        <v>358</v>
      </c>
      <c r="I438" t="str">
        <f t="shared" si="12"/>
        <v>OK</v>
      </c>
      <c r="J438" t="str">
        <f t="shared" si="13"/>
        <v>Lipsă</v>
      </c>
      <c r="K438" t="str">
        <f>IF(ISNA(VLOOKUP(B438,Conturi!A:A,1,FALSE)),"Lipsă","OK")</f>
        <v>OK</v>
      </c>
      <c r="L438" t="str">
        <f>IF(ISBLANK(C438),"Retragere sau depunere",IF(ISNA(VLOOKUP(C438,Conturi!A:A,1,FALSE)),"Lipsă","OK"))</f>
        <v>Retragere sau depunere</v>
      </c>
    </row>
    <row r="439" spans="1:12">
      <c r="A439">
        <v>453</v>
      </c>
      <c r="B439">
        <v>1142</v>
      </c>
      <c r="D439">
        <v>2556.27</v>
      </c>
      <c r="E439" s="2">
        <v>44854</v>
      </c>
      <c r="F439" t="s">
        <v>356</v>
      </c>
      <c r="I439" t="str">
        <f t="shared" si="12"/>
        <v>OK</v>
      </c>
      <c r="J439" t="str">
        <f t="shared" si="13"/>
        <v>Lipsă</v>
      </c>
      <c r="K439" t="str">
        <f>IF(ISNA(VLOOKUP(B439,Conturi!A:A,1,FALSE)),"Lipsă","OK")</f>
        <v>OK</v>
      </c>
      <c r="L439" t="str">
        <f>IF(ISBLANK(C439),"Retragere sau depunere",IF(ISNA(VLOOKUP(C439,Conturi!A:A,1,FALSE)),"Lipsă","OK"))</f>
        <v>Retragere sau depunere</v>
      </c>
    </row>
    <row r="440" spans="1:12">
      <c r="A440">
        <v>454</v>
      </c>
      <c r="B440">
        <v>1143</v>
      </c>
      <c r="D440">
        <v>3067.74</v>
      </c>
      <c r="E440" s="2">
        <v>44578</v>
      </c>
      <c r="F440" t="s">
        <v>356</v>
      </c>
      <c r="I440" t="str">
        <f t="shared" si="12"/>
        <v>OK</v>
      </c>
      <c r="J440" t="str">
        <f t="shared" si="13"/>
        <v>Lipsă</v>
      </c>
      <c r="K440" t="str">
        <f>IF(ISNA(VLOOKUP(B440,Conturi!A:A,1,FALSE)),"Lipsă","OK")</f>
        <v>OK</v>
      </c>
      <c r="L440" t="str">
        <f>IF(ISBLANK(C440),"Retragere sau depunere",IF(ISNA(VLOOKUP(C440,Conturi!A:A,1,FALSE)),"Lipsă","OK"))</f>
        <v>Retragere sau depunere</v>
      </c>
    </row>
    <row r="441" spans="1:12">
      <c r="A441">
        <v>455</v>
      </c>
      <c r="B441">
        <v>1143</v>
      </c>
      <c r="D441">
        <v>1911.81</v>
      </c>
      <c r="E441" s="2">
        <v>44914</v>
      </c>
      <c r="F441" t="s">
        <v>358</v>
      </c>
      <c r="I441" t="str">
        <f t="shared" si="12"/>
        <v>OK</v>
      </c>
      <c r="J441" t="str">
        <f t="shared" si="13"/>
        <v>Lipsă</v>
      </c>
      <c r="K441" t="str">
        <f>IF(ISNA(VLOOKUP(B441,Conturi!A:A,1,FALSE)),"Lipsă","OK")</f>
        <v>OK</v>
      </c>
      <c r="L441" t="str">
        <f>IF(ISBLANK(C441),"Retragere sau depunere",IF(ISNA(VLOOKUP(C441,Conturi!A:A,1,FALSE)),"Lipsă","OK"))</f>
        <v>Retragere sau depunere</v>
      </c>
    </row>
    <row r="442" spans="1:12">
      <c r="A442">
        <v>456</v>
      </c>
      <c r="B442">
        <v>1143</v>
      </c>
      <c r="D442">
        <v>4811.8599999999997</v>
      </c>
      <c r="E442" s="2">
        <v>44667</v>
      </c>
      <c r="F442" t="s">
        <v>358</v>
      </c>
      <c r="I442" t="str">
        <f t="shared" si="12"/>
        <v>OK</v>
      </c>
      <c r="J442" t="str">
        <f t="shared" si="13"/>
        <v>Lipsă</v>
      </c>
      <c r="K442" t="str">
        <f>IF(ISNA(VLOOKUP(B442,Conturi!A:A,1,FALSE)),"Lipsă","OK")</f>
        <v>OK</v>
      </c>
      <c r="L442" t="str">
        <f>IF(ISBLANK(C442),"Retragere sau depunere",IF(ISNA(VLOOKUP(C442,Conturi!A:A,1,FALSE)),"Lipsă","OK"))</f>
        <v>Retragere sau depunere</v>
      </c>
    </row>
    <row r="443" spans="1:12">
      <c r="A443">
        <v>457</v>
      </c>
      <c r="B443">
        <v>1143</v>
      </c>
      <c r="D443">
        <v>4409.28</v>
      </c>
      <c r="E443" s="2">
        <v>44860</v>
      </c>
      <c r="F443" t="s">
        <v>356</v>
      </c>
      <c r="I443" t="str">
        <f t="shared" si="12"/>
        <v>OK</v>
      </c>
      <c r="J443" t="str">
        <f t="shared" si="13"/>
        <v>Lipsă</v>
      </c>
      <c r="K443" t="str">
        <f>IF(ISNA(VLOOKUP(B443,Conturi!A:A,1,FALSE)),"Lipsă","OK")</f>
        <v>OK</v>
      </c>
      <c r="L443" t="str">
        <f>IF(ISBLANK(C443),"Retragere sau depunere",IF(ISNA(VLOOKUP(C443,Conturi!A:A,1,FALSE)),"Lipsă","OK"))</f>
        <v>Retragere sau depunere</v>
      </c>
    </row>
    <row r="444" spans="1:12">
      <c r="A444">
        <v>458</v>
      </c>
      <c r="B444">
        <v>1144</v>
      </c>
      <c r="D444">
        <v>472.98</v>
      </c>
      <c r="E444" s="2">
        <v>44905</v>
      </c>
      <c r="F444" t="s">
        <v>356</v>
      </c>
      <c r="I444" t="str">
        <f t="shared" si="12"/>
        <v>OK</v>
      </c>
      <c r="J444" t="str">
        <f t="shared" si="13"/>
        <v>Lipsă</v>
      </c>
      <c r="K444" t="str">
        <f>IF(ISNA(VLOOKUP(B444,Conturi!A:A,1,FALSE)),"Lipsă","OK")</f>
        <v>OK</v>
      </c>
      <c r="L444" t="str">
        <f>IF(ISBLANK(C444),"Retragere sau depunere",IF(ISNA(VLOOKUP(C444,Conturi!A:A,1,FALSE)),"Lipsă","OK"))</f>
        <v>Retragere sau depunere</v>
      </c>
    </row>
    <row r="445" spans="1:12">
      <c r="A445">
        <v>459</v>
      </c>
      <c r="B445">
        <v>1145</v>
      </c>
      <c r="C445">
        <v>1081</v>
      </c>
      <c r="D445">
        <v>4038.18</v>
      </c>
      <c r="E445" s="2">
        <v>44640</v>
      </c>
      <c r="F445" t="s">
        <v>357</v>
      </c>
      <c r="I445" t="str">
        <f t="shared" si="12"/>
        <v>OK</v>
      </c>
      <c r="J445" t="str">
        <f t="shared" si="13"/>
        <v>OK</v>
      </c>
      <c r="K445" t="str">
        <f>IF(ISNA(VLOOKUP(B445,Conturi!A:A,1,FALSE)),"Lipsă","OK")</f>
        <v>OK</v>
      </c>
      <c r="L445" t="str">
        <f>IF(ISBLANK(C445),"Retragere sau depunere",IF(ISNA(VLOOKUP(C445,Conturi!A:A,1,FALSE)),"Lipsă","OK"))</f>
        <v>OK</v>
      </c>
    </row>
    <row r="446" spans="1:12">
      <c r="A446">
        <v>460</v>
      </c>
      <c r="B446">
        <v>1145</v>
      </c>
      <c r="D446">
        <v>313.36</v>
      </c>
      <c r="E446" s="2">
        <v>44624</v>
      </c>
      <c r="F446" t="s">
        <v>358</v>
      </c>
      <c r="I446" t="str">
        <f t="shared" si="12"/>
        <v>OK</v>
      </c>
      <c r="J446" t="str">
        <f t="shared" si="13"/>
        <v>Lipsă</v>
      </c>
      <c r="K446" t="str">
        <f>IF(ISNA(VLOOKUP(B446,Conturi!A:A,1,FALSE)),"Lipsă","OK")</f>
        <v>OK</v>
      </c>
      <c r="L446" t="str">
        <f>IF(ISBLANK(C446),"Retragere sau depunere",IF(ISNA(VLOOKUP(C446,Conturi!A:A,1,FALSE)),"Lipsă","OK"))</f>
        <v>Retragere sau depunere</v>
      </c>
    </row>
    <row r="447" spans="1:12">
      <c r="A447">
        <v>461</v>
      </c>
      <c r="B447">
        <v>1145</v>
      </c>
      <c r="D447">
        <v>4622.04</v>
      </c>
      <c r="E447" s="2">
        <v>44702</v>
      </c>
      <c r="F447" t="s">
        <v>358</v>
      </c>
      <c r="I447" t="str">
        <f t="shared" si="12"/>
        <v>OK</v>
      </c>
      <c r="J447" t="str">
        <f t="shared" si="13"/>
        <v>Lipsă</v>
      </c>
      <c r="K447" t="str">
        <f>IF(ISNA(VLOOKUP(B447,Conturi!A:A,1,FALSE)),"Lipsă","OK")</f>
        <v>OK</v>
      </c>
      <c r="L447" t="str">
        <f>IF(ISBLANK(C447),"Retragere sau depunere",IF(ISNA(VLOOKUP(C447,Conturi!A:A,1,FALSE)),"Lipsă","OK"))</f>
        <v>Retragere sau depunere</v>
      </c>
    </row>
    <row r="448" spans="1:12">
      <c r="A448">
        <v>462</v>
      </c>
      <c r="B448">
        <v>1145</v>
      </c>
      <c r="D448">
        <v>1639.75</v>
      </c>
      <c r="E448" s="2">
        <v>44903</v>
      </c>
      <c r="F448" t="s">
        <v>356</v>
      </c>
      <c r="I448" t="str">
        <f t="shared" si="12"/>
        <v>OK</v>
      </c>
      <c r="J448" t="str">
        <f t="shared" si="13"/>
        <v>Lipsă</v>
      </c>
      <c r="K448" t="str">
        <f>IF(ISNA(VLOOKUP(B448,Conturi!A:A,1,FALSE)),"Lipsă","OK")</f>
        <v>OK</v>
      </c>
      <c r="L448" t="str">
        <f>IF(ISBLANK(C448),"Retragere sau depunere",IF(ISNA(VLOOKUP(C448,Conturi!A:A,1,FALSE)),"Lipsă","OK"))</f>
        <v>Retragere sau depunere</v>
      </c>
    </row>
    <row r="449" spans="1:12">
      <c r="A449">
        <v>463</v>
      </c>
      <c r="B449">
        <v>1146</v>
      </c>
      <c r="D449">
        <v>4578.68</v>
      </c>
      <c r="E449" s="2">
        <v>44610</v>
      </c>
      <c r="F449" t="s">
        <v>358</v>
      </c>
      <c r="I449" t="str">
        <f t="shared" si="12"/>
        <v>OK</v>
      </c>
      <c r="J449" t="str">
        <f t="shared" si="13"/>
        <v>Lipsă</v>
      </c>
      <c r="K449" t="str">
        <f>IF(ISNA(VLOOKUP(B449,Conturi!A:A,1,FALSE)),"Lipsă","OK")</f>
        <v>OK</v>
      </c>
      <c r="L449" t="str">
        <f>IF(ISBLANK(C449),"Retragere sau depunere",IF(ISNA(VLOOKUP(C449,Conturi!A:A,1,FALSE)),"Lipsă","OK"))</f>
        <v>Retragere sau depunere</v>
      </c>
    </row>
    <row r="450" spans="1:12">
      <c r="A450">
        <v>464</v>
      </c>
      <c r="B450">
        <v>1146</v>
      </c>
      <c r="D450">
        <v>2844.08</v>
      </c>
      <c r="E450" s="2">
        <v>44712</v>
      </c>
      <c r="F450" t="s">
        <v>356</v>
      </c>
      <c r="I450" t="str">
        <f t="shared" si="12"/>
        <v>OK</v>
      </c>
      <c r="J450" t="str">
        <f t="shared" si="13"/>
        <v>Lipsă</v>
      </c>
      <c r="K450" t="str">
        <f>IF(ISNA(VLOOKUP(B450,Conturi!A:A,1,FALSE)),"Lipsă","OK")</f>
        <v>OK</v>
      </c>
      <c r="L450" t="str">
        <f>IF(ISBLANK(C450),"Retragere sau depunere",IF(ISNA(VLOOKUP(C450,Conturi!A:A,1,FALSE)),"Lipsă","OK"))</f>
        <v>Retragere sau depunere</v>
      </c>
    </row>
    <row r="451" spans="1:12">
      <c r="A451">
        <v>465</v>
      </c>
      <c r="B451">
        <v>1146</v>
      </c>
      <c r="D451">
        <v>4801.96</v>
      </c>
      <c r="E451" s="2">
        <v>44729</v>
      </c>
      <c r="F451" t="s">
        <v>356</v>
      </c>
      <c r="I451" t="str">
        <f t="shared" ref="I451:I514" si="14">IF(D451&lt;0,"Greșit","OK")</f>
        <v>OK</v>
      </c>
      <c r="J451" t="str">
        <f t="shared" ref="J451:J514" si="15">IF(ISBLANK(C451),"Lipsă","OK")</f>
        <v>Lipsă</v>
      </c>
      <c r="K451" t="str">
        <f>IF(ISNA(VLOOKUP(B451,Conturi!A:A,1,FALSE)),"Lipsă","OK")</f>
        <v>OK</v>
      </c>
      <c r="L451" t="str">
        <f>IF(ISBLANK(C451),"Retragere sau depunere",IF(ISNA(VLOOKUP(C451,Conturi!A:A,1,FALSE)),"Lipsă","OK"))</f>
        <v>Retragere sau depunere</v>
      </c>
    </row>
    <row r="452" spans="1:12">
      <c r="A452">
        <v>466</v>
      </c>
      <c r="B452">
        <v>1146</v>
      </c>
      <c r="D452">
        <v>1149.6500000000001</v>
      </c>
      <c r="E452" s="2">
        <v>44655</v>
      </c>
      <c r="F452" t="s">
        <v>356</v>
      </c>
      <c r="I452" t="str">
        <f t="shared" si="14"/>
        <v>OK</v>
      </c>
      <c r="J452" t="str">
        <f t="shared" si="15"/>
        <v>Lipsă</v>
      </c>
      <c r="K452" t="str">
        <f>IF(ISNA(VLOOKUP(B452,Conturi!A:A,1,FALSE)),"Lipsă","OK")</f>
        <v>OK</v>
      </c>
      <c r="L452" t="str">
        <f>IF(ISBLANK(C452),"Retragere sau depunere",IF(ISNA(VLOOKUP(C452,Conturi!A:A,1,FALSE)),"Lipsă","OK"))</f>
        <v>Retragere sau depunere</v>
      </c>
    </row>
    <row r="453" spans="1:12">
      <c r="A453">
        <v>467</v>
      </c>
      <c r="B453">
        <v>1146</v>
      </c>
      <c r="D453">
        <v>3013.57</v>
      </c>
      <c r="E453" s="2">
        <v>44662</v>
      </c>
      <c r="F453" t="s">
        <v>358</v>
      </c>
      <c r="I453" t="str">
        <f t="shared" si="14"/>
        <v>OK</v>
      </c>
      <c r="J453" t="str">
        <f t="shared" si="15"/>
        <v>Lipsă</v>
      </c>
      <c r="K453" t="str">
        <f>IF(ISNA(VLOOKUP(B453,Conturi!A:A,1,FALSE)),"Lipsă","OK")</f>
        <v>OK</v>
      </c>
      <c r="L453" t="str">
        <f>IF(ISBLANK(C453),"Retragere sau depunere",IF(ISNA(VLOOKUP(C453,Conturi!A:A,1,FALSE)),"Lipsă","OK"))</f>
        <v>Retragere sau depunere</v>
      </c>
    </row>
    <row r="454" spans="1:12">
      <c r="A454">
        <v>468</v>
      </c>
      <c r="B454">
        <v>1147</v>
      </c>
      <c r="D454">
        <v>4624.1899999999996</v>
      </c>
      <c r="E454" s="2">
        <v>44643</v>
      </c>
      <c r="F454" t="s">
        <v>356</v>
      </c>
      <c r="I454" t="str">
        <f t="shared" si="14"/>
        <v>OK</v>
      </c>
      <c r="J454" t="str">
        <f t="shared" si="15"/>
        <v>Lipsă</v>
      </c>
      <c r="K454" t="str">
        <f>IF(ISNA(VLOOKUP(B454,Conturi!A:A,1,FALSE)),"Lipsă","OK")</f>
        <v>OK</v>
      </c>
      <c r="L454" t="str">
        <f>IF(ISBLANK(C454),"Retragere sau depunere",IF(ISNA(VLOOKUP(C454,Conturi!A:A,1,FALSE)),"Lipsă","OK"))</f>
        <v>Retragere sau depunere</v>
      </c>
    </row>
    <row r="455" spans="1:12">
      <c r="A455">
        <v>469</v>
      </c>
      <c r="B455">
        <v>1147</v>
      </c>
      <c r="D455">
        <v>1310.72</v>
      </c>
      <c r="E455" s="2">
        <v>44735</v>
      </c>
      <c r="F455" t="s">
        <v>356</v>
      </c>
      <c r="I455" t="str">
        <f t="shared" si="14"/>
        <v>OK</v>
      </c>
      <c r="J455" t="str">
        <f t="shared" si="15"/>
        <v>Lipsă</v>
      </c>
      <c r="K455" t="str">
        <f>IF(ISNA(VLOOKUP(B455,Conturi!A:A,1,FALSE)),"Lipsă","OK")</f>
        <v>OK</v>
      </c>
      <c r="L455" t="str">
        <f>IF(ISBLANK(C455),"Retragere sau depunere",IF(ISNA(VLOOKUP(C455,Conturi!A:A,1,FALSE)),"Lipsă","OK"))</f>
        <v>Retragere sau depunere</v>
      </c>
    </row>
    <row r="456" spans="1:12">
      <c r="A456">
        <v>470</v>
      </c>
      <c r="B456">
        <v>1148</v>
      </c>
      <c r="D456">
        <v>830.31</v>
      </c>
      <c r="E456" s="2">
        <v>44811</v>
      </c>
      <c r="F456" t="s">
        <v>358</v>
      </c>
      <c r="I456" t="str">
        <f t="shared" si="14"/>
        <v>OK</v>
      </c>
      <c r="J456" t="str">
        <f t="shared" si="15"/>
        <v>Lipsă</v>
      </c>
      <c r="K456" t="str">
        <f>IF(ISNA(VLOOKUP(B456,Conturi!A:A,1,FALSE)),"Lipsă","OK")</f>
        <v>OK</v>
      </c>
      <c r="L456" t="str">
        <f>IF(ISBLANK(C456),"Retragere sau depunere",IF(ISNA(VLOOKUP(C456,Conturi!A:A,1,FALSE)),"Lipsă","OK"))</f>
        <v>Retragere sau depunere</v>
      </c>
    </row>
    <row r="457" spans="1:12">
      <c r="A457">
        <v>471</v>
      </c>
      <c r="B457">
        <v>1149</v>
      </c>
      <c r="D457">
        <v>1712.52</v>
      </c>
      <c r="E457" s="2">
        <v>44740</v>
      </c>
      <c r="F457" t="s">
        <v>356</v>
      </c>
      <c r="I457" t="str">
        <f t="shared" si="14"/>
        <v>OK</v>
      </c>
      <c r="J457" t="str">
        <f t="shared" si="15"/>
        <v>Lipsă</v>
      </c>
      <c r="K457" t="str">
        <f>IF(ISNA(VLOOKUP(B457,Conturi!A:A,1,FALSE)),"Lipsă","OK")</f>
        <v>OK</v>
      </c>
      <c r="L457" t="str">
        <f>IF(ISBLANK(C457),"Retragere sau depunere",IF(ISNA(VLOOKUP(C457,Conturi!A:A,1,FALSE)),"Lipsă","OK"))</f>
        <v>Retragere sau depunere</v>
      </c>
    </row>
    <row r="458" spans="1:12">
      <c r="A458">
        <v>472</v>
      </c>
      <c r="B458">
        <v>1149</v>
      </c>
      <c r="D458">
        <v>2859.63</v>
      </c>
      <c r="E458" s="2">
        <v>44743</v>
      </c>
      <c r="F458" t="s">
        <v>356</v>
      </c>
      <c r="I458" t="str">
        <f t="shared" si="14"/>
        <v>OK</v>
      </c>
      <c r="J458" t="str">
        <f t="shared" si="15"/>
        <v>Lipsă</v>
      </c>
      <c r="K458" t="str">
        <f>IF(ISNA(VLOOKUP(B458,Conturi!A:A,1,FALSE)),"Lipsă","OK")</f>
        <v>OK</v>
      </c>
      <c r="L458" t="str">
        <f>IF(ISBLANK(C458),"Retragere sau depunere",IF(ISNA(VLOOKUP(C458,Conturi!A:A,1,FALSE)),"Lipsă","OK"))</f>
        <v>Retragere sau depunere</v>
      </c>
    </row>
    <row r="459" spans="1:12">
      <c r="A459">
        <v>473</v>
      </c>
      <c r="B459">
        <v>1150</v>
      </c>
      <c r="D459">
        <v>1097.3399999999999</v>
      </c>
      <c r="E459" s="2">
        <v>44711</v>
      </c>
      <c r="F459" t="s">
        <v>356</v>
      </c>
      <c r="I459" t="str">
        <f t="shared" si="14"/>
        <v>OK</v>
      </c>
      <c r="J459" t="str">
        <f t="shared" si="15"/>
        <v>Lipsă</v>
      </c>
      <c r="K459" t="str">
        <f>IF(ISNA(VLOOKUP(B459,Conturi!A:A,1,FALSE)),"Lipsă","OK")</f>
        <v>OK</v>
      </c>
      <c r="L459" t="str">
        <f>IF(ISBLANK(C459),"Retragere sau depunere",IF(ISNA(VLOOKUP(C459,Conturi!A:A,1,FALSE)),"Lipsă","OK"))</f>
        <v>Retragere sau depunere</v>
      </c>
    </row>
    <row r="460" spans="1:12">
      <c r="A460">
        <v>474</v>
      </c>
      <c r="B460">
        <v>1151</v>
      </c>
      <c r="D460">
        <v>2667.75</v>
      </c>
      <c r="E460" s="2">
        <v>44905</v>
      </c>
      <c r="F460" t="s">
        <v>356</v>
      </c>
      <c r="I460" t="str">
        <f t="shared" si="14"/>
        <v>OK</v>
      </c>
      <c r="J460" t="str">
        <f t="shared" si="15"/>
        <v>Lipsă</v>
      </c>
      <c r="K460" t="str">
        <f>IF(ISNA(VLOOKUP(B460,Conturi!A:A,1,FALSE)),"Lipsă","OK")</f>
        <v>OK</v>
      </c>
      <c r="L460" t="str">
        <f>IF(ISBLANK(C460),"Retragere sau depunere",IF(ISNA(VLOOKUP(C460,Conturi!A:A,1,FALSE)),"Lipsă","OK"))</f>
        <v>Retragere sau depunere</v>
      </c>
    </row>
    <row r="461" spans="1:12">
      <c r="A461">
        <v>475</v>
      </c>
      <c r="B461">
        <v>1151</v>
      </c>
      <c r="D461">
        <v>4827.5200000000004</v>
      </c>
      <c r="E461" s="2">
        <v>44648</v>
      </c>
      <c r="F461" t="s">
        <v>358</v>
      </c>
      <c r="I461" t="str">
        <f t="shared" si="14"/>
        <v>OK</v>
      </c>
      <c r="J461" t="str">
        <f t="shared" si="15"/>
        <v>Lipsă</v>
      </c>
      <c r="K461" t="str">
        <f>IF(ISNA(VLOOKUP(B461,Conturi!A:A,1,FALSE)),"Lipsă","OK")</f>
        <v>OK</v>
      </c>
      <c r="L461" t="str">
        <f>IF(ISBLANK(C461),"Retragere sau depunere",IF(ISNA(VLOOKUP(C461,Conturi!A:A,1,FALSE)),"Lipsă","OK"))</f>
        <v>Retragere sau depunere</v>
      </c>
    </row>
    <row r="462" spans="1:12">
      <c r="A462">
        <v>476</v>
      </c>
      <c r="B462">
        <v>1152</v>
      </c>
      <c r="D462">
        <v>1038.03</v>
      </c>
      <c r="E462" s="2">
        <v>44874</v>
      </c>
      <c r="F462" t="s">
        <v>356</v>
      </c>
      <c r="I462" t="str">
        <f t="shared" si="14"/>
        <v>OK</v>
      </c>
      <c r="J462" t="str">
        <f t="shared" si="15"/>
        <v>Lipsă</v>
      </c>
      <c r="K462" t="str">
        <f>IF(ISNA(VLOOKUP(B462,Conturi!A:A,1,FALSE)),"Lipsă","OK")</f>
        <v>OK</v>
      </c>
      <c r="L462" t="str">
        <f>IF(ISBLANK(C462),"Retragere sau depunere",IF(ISNA(VLOOKUP(C462,Conturi!A:A,1,FALSE)),"Lipsă","OK"))</f>
        <v>Retragere sau depunere</v>
      </c>
    </row>
    <row r="463" spans="1:12">
      <c r="A463">
        <v>477</v>
      </c>
      <c r="B463">
        <v>1153</v>
      </c>
      <c r="D463">
        <v>3699.44</v>
      </c>
      <c r="E463" s="2">
        <v>44782</v>
      </c>
      <c r="F463" t="s">
        <v>356</v>
      </c>
      <c r="I463" t="str">
        <f t="shared" si="14"/>
        <v>OK</v>
      </c>
      <c r="J463" t="str">
        <f t="shared" si="15"/>
        <v>Lipsă</v>
      </c>
      <c r="K463" t="str">
        <f>IF(ISNA(VLOOKUP(B463,Conturi!A:A,1,FALSE)),"Lipsă","OK")</f>
        <v>OK</v>
      </c>
      <c r="L463" t="str">
        <f>IF(ISBLANK(C463),"Retragere sau depunere",IF(ISNA(VLOOKUP(C463,Conturi!A:A,1,FALSE)),"Lipsă","OK"))</f>
        <v>Retragere sau depunere</v>
      </c>
    </row>
    <row r="464" spans="1:12">
      <c r="A464">
        <v>478</v>
      </c>
      <c r="B464">
        <v>1154</v>
      </c>
      <c r="C464">
        <v>1160</v>
      </c>
      <c r="D464">
        <v>655.45</v>
      </c>
      <c r="E464" s="2">
        <v>44626</v>
      </c>
      <c r="F464" t="s">
        <v>357</v>
      </c>
      <c r="I464" t="str">
        <f t="shared" si="14"/>
        <v>OK</v>
      </c>
      <c r="J464" t="str">
        <f t="shared" si="15"/>
        <v>OK</v>
      </c>
      <c r="K464" t="str">
        <f>IF(ISNA(VLOOKUP(B464,Conturi!A:A,1,FALSE)),"Lipsă","OK")</f>
        <v>OK</v>
      </c>
      <c r="L464" t="str">
        <f>IF(ISBLANK(C464),"Retragere sau depunere",IF(ISNA(VLOOKUP(C464,Conturi!A:A,1,FALSE)),"Lipsă","OK"))</f>
        <v>OK</v>
      </c>
    </row>
    <row r="465" spans="1:12">
      <c r="A465">
        <v>479</v>
      </c>
      <c r="B465">
        <v>1154</v>
      </c>
      <c r="C465">
        <v>1134</v>
      </c>
      <c r="D465">
        <v>1866.99</v>
      </c>
      <c r="E465" s="2">
        <v>44572</v>
      </c>
      <c r="F465" t="s">
        <v>357</v>
      </c>
      <c r="I465" t="str">
        <f t="shared" si="14"/>
        <v>OK</v>
      </c>
      <c r="J465" t="str">
        <f t="shared" si="15"/>
        <v>OK</v>
      </c>
      <c r="K465" t="str">
        <f>IF(ISNA(VLOOKUP(B465,Conturi!A:A,1,FALSE)),"Lipsă","OK")</f>
        <v>OK</v>
      </c>
      <c r="L465" t="str">
        <f>IF(ISBLANK(C465),"Retragere sau depunere",IF(ISNA(VLOOKUP(C465,Conturi!A:A,1,FALSE)),"Lipsă","OK"))</f>
        <v>OK</v>
      </c>
    </row>
    <row r="466" spans="1:12">
      <c r="A466">
        <v>480</v>
      </c>
      <c r="B466">
        <v>1154</v>
      </c>
      <c r="C466">
        <v>1098</v>
      </c>
      <c r="D466">
        <v>4988.33</v>
      </c>
      <c r="E466" s="2">
        <v>44866</v>
      </c>
      <c r="F466" t="s">
        <v>357</v>
      </c>
      <c r="I466" t="str">
        <f t="shared" si="14"/>
        <v>OK</v>
      </c>
      <c r="J466" t="str">
        <f t="shared" si="15"/>
        <v>OK</v>
      </c>
      <c r="K466" t="str">
        <f>IF(ISNA(VLOOKUP(B466,Conturi!A:A,1,FALSE)),"Lipsă","OK")</f>
        <v>OK</v>
      </c>
      <c r="L466" t="str">
        <f>IF(ISBLANK(C466),"Retragere sau depunere",IF(ISNA(VLOOKUP(C466,Conturi!A:A,1,FALSE)),"Lipsă","OK"))</f>
        <v>OK</v>
      </c>
    </row>
    <row r="467" spans="1:12">
      <c r="A467">
        <v>481</v>
      </c>
      <c r="B467">
        <v>1155</v>
      </c>
      <c r="D467">
        <v>1176.3699999999999</v>
      </c>
      <c r="E467" s="2">
        <v>44747</v>
      </c>
      <c r="F467" t="s">
        <v>356</v>
      </c>
      <c r="I467" t="str">
        <f t="shared" si="14"/>
        <v>OK</v>
      </c>
      <c r="J467" t="str">
        <f t="shared" si="15"/>
        <v>Lipsă</v>
      </c>
      <c r="K467" t="str">
        <f>IF(ISNA(VLOOKUP(B467,Conturi!A:A,1,FALSE)),"Lipsă","OK")</f>
        <v>OK</v>
      </c>
      <c r="L467" t="str">
        <f>IF(ISBLANK(C467),"Retragere sau depunere",IF(ISNA(VLOOKUP(C467,Conturi!A:A,1,FALSE)),"Lipsă","OK"))</f>
        <v>Retragere sau depunere</v>
      </c>
    </row>
    <row r="468" spans="1:12">
      <c r="A468">
        <v>482</v>
      </c>
      <c r="B468">
        <v>1155</v>
      </c>
      <c r="D468">
        <v>1515.5</v>
      </c>
      <c r="E468" s="2">
        <v>44917</v>
      </c>
      <c r="F468" t="s">
        <v>358</v>
      </c>
      <c r="I468" t="str">
        <f t="shared" si="14"/>
        <v>OK</v>
      </c>
      <c r="J468" t="str">
        <f t="shared" si="15"/>
        <v>Lipsă</v>
      </c>
      <c r="K468" t="str">
        <f>IF(ISNA(VLOOKUP(B468,Conturi!A:A,1,FALSE)),"Lipsă","OK")</f>
        <v>OK</v>
      </c>
      <c r="L468" t="str">
        <f>IF(ISBLANK(C468),"Retragere sau depunere",IF(ISNA(VLOOKUP(C468,Conturi!A:A,1,FALSE)),"Lipsă","OK"))</f>
        <v>Retragere sau depunere</v>
      </c>
    </row>
    <row r="469" spans="1:12">
      <c r="A469">
        <v>483</v>
      </c>
      <c r="B469">
        <v>1155</v>
      </c>
      <c r="C469">
        <v>1091</v>
      </c>
      <c r="D469">
        <v>2324.06</v>
      </c>
      <c r="E469" s="2">
        <v>44732</v>
      </c>
      <c r="F469" t="s">
        <v>357</v>
      </c>
      <c r="I469" t="str">
        <f t="shared" si="14"/>
        <v>OK</v>
      </c>
      <c r="J469" t="str">
        <f t="shared" si="15"/>
        <v>OK</v>
      </c>
      <c r="K469" t="str">
        <f>IF(ISNA(VLOOKUP(B469,Conturi!A:A,1,FALSE)),"Lipsă","OK")</f>
        <v>OK</v>
      </c>
      <c r="L469" t="str">
        <f>IF(ISBLANK(C469),"Retragere sau depunere",IF(ISNA(VLOOKUP(C469,Conturi!A:A,1,FALSE)),"Lipsă","OK"))</f>
        <v>OK</v>
      </c>
    </row>
    <row r="470" spans="1:12">
      <c r="A470">
        <v>484</v>
      </c>
      <c r="B470">
        <v>1155</v>
      </c>
      <c r="D470">
        <v>4575.75</v>
      </c>
      <c r="E470" s="2">
        <v>44788</v>
      </c>
      <c r="F470" t="s">
        <v>358</v>
      </c>
      <c r="I470" t="str">
        <f t="shared" si="14"/>
        <v>OK</v>
      </c>
      <c r="J470" t="str">
        <f t="shared" si="15"/>
        <v>Lipsă</v>
      </c>
      <c r="K470" t="str">
        <f>IF(ISNA(VLOOKUP(B470,Conturi!A:A,1,FALSE)),"Lipsă","OK")</f>
        <v>OK</v>
      </c>
      <c r="L470" t="str">
        <f>IF(ISBLANK(C470),"Retragere sau depunere",IF(ISNA(VLOOKUP(C470,Conturi!A:A,1,FALSE)),"Lipsă","OK"))</f>
        <v>Retragere sau depunere</v>
      </c>
    </row>
    <row r="471" spans="1:12">
      <c r="A471">
        <v>485</v>
      </c>
      <c r="B471">
        <v>1156</v>
      </c>
      <c r="D471">
        <v>3045.22</v>
      </c>
      <c r="E471" s="2">
        <v>44804</v>
      </c>
      <c r="F471" t="s">
        <v>356</v>
      </c>
      <c r="I471" t="str">
        <f t="shared" si="14"/>
        <v>OK</v>
      </c>
      <c r="J471" t="str">
        <f t="shared" si="15"/>
        <v>Lipsă</v>
      </c>
      <c r="K471" t="str">
        <f>IF(ISNA(VLOOKUP(B471,Conturi!A:A,1,FALSE)),"Lipsă","OK")</f>
        <v>OK</v>
      </c>
      <c r="L471" t="str">
        <f>IF(ISBLANK(C471),"Retragere sau depunere",IF(ISNA(VLOOKUP(C471,Conturi!A:A,1,FALSE)),"Lipsă","OK"))</f>
        <v>Retragere sau depunere</v>
      </c>
    </row>
    <row r="472" spans="1:12">
      <c r="A472">
        <v>486</v>
      </c>
      <c r="B472">
        <v>1156</v>
      </c>
      <c r="D472">
        <v>4528.76</v>
      </c>
      <c r="E472" s="2">
        <v>44897</v>
      </c>
      <c r="F472" t="s">
        <v>358</v>
      </c>
      <c r="I472" t="str">
        <f t="shared" si="14"/>
        <v>OK</v>
      </c>
      <c r="J472" t="str">
        <f t="shared" si="15"/>
        <v>Lipsă</v>
      </c>
      <c r="K472" t="str">
        <f>IF(ISNA(VLOOKUP(B472,Conturi!A:A,1,FALSE)),"Lipsă","OK")</f>
        <v>OK</v>
      </c>
      <c r="L472" t="str">
        <f>IF(ISBLANK(C472),"Retragere sau depunere",IF(ISNA(VLOOKUP(C472,Conturi!A:A,1,FALSE)),"Lipsă","OK"))</f>
        <v>Retragere sau depunere</v>
      </c>
    </row>
    <row r="473" spans="1:12">
      <c r="A473">
        <v>487</v>
      </c>
      <c r="B473">
        <v>1156</v>
      </c>
      <c r="C473">
        <v>1156</v>
      </c>
      <c r="D473">
        <v>958.39</v>
      </c>
      <c r="E473" s="2">
        <v>44601</v>
      </c>
      <c r="F473" t="s">
        <v>357</v>
      </c>
      <c r="I473" t="str">
        <f t="shared" si="14"/>
        <v>OK</v>
      </c>
      <c r="J473" t="str">
        <f t="shared" si="15"/>
        <v>OK</v>
      </c>
      <c r="K473" t="str">
        <f>IF(ISNA(VLOOKUP(B473,Conturi!A:A,1,FALSE)),"Lipsă","OK")</f>
        <v>OK</v>
      </c>
      <c r="L473" t="str">
        <f>IF(ISBLANK(C473),"Retragere sau depunere",IF(ISNA(VLOOKUP(C473,Conturi!A:A,1,FALSE)),"Lipsă","OK"))</f>
        <v>OK</v>
      </c>
    </row>
    <row r="474" spans="1:12">
      <c r="A474">
        <v>488</v>
      </c>
      <c r="B474">
        <v>1156</v>
      </c>
      <c r="D474">
        <v>4647.49</v>
      </c>
      <c r="E474" s="2">
        <v>44693</v>
      </c>
      <c r="F474" t="s">
        <v>356</v>
      </c>
      <c r="I474" t="str">
        <f t="shared" si="14"/>
        <v>OK</v>
      </c>
      <c r="J474" t="str">
        <f t="shared" si="15"/>
        <v>Lipsă</v>
      </c>
      <c r="K474" t="str">
        <f>IF(ISNA(VLOOKUP(B474,Conturi!A:A,1,FALSE)),"Lipsă","OK")</f>
        <v>OK</v>
      </c>
      <c r="L474" t="str">
        <f>IF(ISBLANK(C474),"Retragere sau depunere",IF(ISNA(VLOOKUP(C474,Conturi!A:A,1,FALSE)),"Lipsă","OK"))</f>
        <v>Retragere sau depunere</v>
      </c>
    </row>
    <row r="475" spans="1:12">
      <c r="A475">
        <v>489</v>
      </c>
      <c r="B475">
        <v>1156</v>
      </c>
      <c r="D475">
        <v>687.54</v>
      </c>
      <c r="E475" s="2">
        <v>44678</v>
      </c>
      <c r="F475" t="s">
        <v>356</v>
      </c>
      <c r="I475" t="str">
        <f t="shared" si="14"/>
        <v>OK</v>
      </c>
      <c r="J475" t="str">
        <f t="shared" si="15"/>
        <v>Lipsă</v>
      </c>
      <c r="K475" t="str">
        <f>IF(ISNA(VLOOKUP(B475,Conturi!A:A,1,FALSE)),"Lipsă","OK")</f>
        <v>OK</v>
      </c>
      <c r="L475" t="str">
        <f>IF(ISBLANK(C475),"Retragere sau depunere",IF(ISNA(VLOOKUP(C475,Conturi!A:A,1,FALSE)),"Lipsă","OK"))</f>
        <v>Retragere sau depunere</v>
      </c>
    </row>
    <row r="476" spans="1:12">
      <c r="A476">
        <v>490</v>
      </c>
      <c r="B476">
        <v>1157</v>
      </c>
      <c r="D476">
        <v>3732.99</v>
      </c>
      <c r="E476" s="2">
        <v>44900</v>
      </c>
      <c r="F476" t="s">
        <v>356</v>
      </c>
      <c r="I476" t="str">
        <f t="shared" si="14"/>
        <v>OK</v>
      </c>
      <c r="J476" t="str">
        <f t="shared" si="15"/>
        <v>Lipsă</v>
      </c>
      <c r="K476" t="str">
        <f>IF(ISNA(VLOOKUP(B476,Conturi!A:A,1,FALSE)),"Lipsă","OK")</f>
        <v>OK</v>
      </c>
      <c r="L476" t="str">
        <f>IF(ISBLANK(C476),"Retragere sau depunere",IF(ISNA(VLOOKUP(C476,Conturi!A:A,1,FALSE)),"Lipsă","OK"))</f>
        <v>Retragere sau depunere</v>
      </c>
    </row>
    <row r="477" spans="1:12">
      <c r="A477">
        <v>491</v>
      </c>
      <c r="B477">
        <v>1157</v>
      </c>
      <c r="D477">
        <v>3741.62</v>
      </c>
      <c r="E477" s="2">
        <v>44719</v>
      </c>
      <c r="F477" t="s">
        <v>356</v>
      </c>
      <c r="I477" t="str">
        <f t="shared" si="14"/>
        <v>OK</v>
      </c>
      <c r="J477" t="str">
        <f t="shared" si="15"/>
        <v>Lipsă</v>
      </c>
      <c r="K477" t="str">
        <f>IF(ISNA(VLOOKUP(B477,Conturi!A:A,1,FALSE)),"Lipsă","OK")</f>
        <v>OK</v>
      </c>
      <c r="L477" t="str">
        <f>IF(ISBLANK(C477),"Retragere sau depunere",IF(ISNA(VLOOKUP(C477,Conturi!A:A,1,FALSE)),"Lipsă","OK"))</f>
        <v>Retragere sau depunere</v>
      </c>
    </row>
    <row r="478" spans="1:12">
      <c r="A478">
        <v>492</v>
      </c>
      <c r="B478">
        <v>1157</v>
      </c>
      <c r="D478">
        <v>4285.92</v>
      </c>
      <c r="E478" s="2">
        <v>44762</v>
      </c>
      <c r="F478" t="s">
        <v>356</v>
      </c>
      <c r="I478" t="str">
        <f t="shared" si="14"/>
        <v>OK</v>
      </c>
      <c r="J478" t="str">
        <f t="shared" si="15"/>
        <v>Lipsă</v>
      </c>
      <c r="K478" t="str">
        <f>IF(ISNA(VLOOKUP(B478,Conturi!A:A,1,FALSE)),"Lipsă","OK")</f>
        <v>OK</v>
      </c>
      <c r="L478" t="str">
        <f>IF(ISBLANK(C478),"Retragere sau depunere",IF(ISNA(VLOOKUP(C478,Conturi!A:A,1,FALSE)),"Lipsă","OK"))</f>
        <v>Retragere sau depunere</v>
      </c>
    </row>
    <row r="479" spans="1:12">
      <c r="A479">
        <v>493</v>
      </c>
      <c r="B479">
        <v>1157</v>
      </c>
      <c r="D479">
        <v>1010.22</v>
      </c>
      <c r="E479" s="2">
        <v>44875</v>
      </c>
      <c r="F479" t="s">
        <v>356</v>
      </c>
      <c r="I479" t="str">
        <f t="shared" si="14"/>
        <v>OK</v>
      </c>
      <c r="J479" t="str">
        <f t="shared" si="15"/>
        <v>Lipsă</v>
      </c>
      <c r="K479" t="str">
        <f>IF(ISNA(VLOOKUP(B479,Conturi!A:A,1,FALSE)),"Lipsă","OK")</f>
        <v>OK</v>
      </c>
      <c r="L479" t="str">
        <f>IF(ISBLANK(C479),"Retragere sau depunere",IF(ISNA(VLOOKUP(C479,Conturi!A:A,1,FALSE)),"Lipsă","OK"))</f>
        <v>Retragere sau depunere</v>
      </c>
    </row>
    <row r="480" spans="1:12">
      <c r="A480">
        <v>494</v>
      </c>
      <c r="B480">
        <v>1158</v>
      </c>
      <c r="D480">
        <v>4686.96</v>
      </c>
      <c r="E480" s="2">
        <v>44683</v>
      </c>
      <c r="F480" t="s">
        <v>356</v>
      </c>
      <c r="I480" t="str">
        <f t="shared" si="14"/>
        <v>OK</v>
      </c>
      <c r="J480" t="str">
        <f t="shared" si="15"/>
        <v>Lipsă</v>
      </c>
      <c r="K480" t="str">
        <f>IF(ISNA(VLOOKUP(B480,Conturi!A:A,1,FALSE)),"Lipsă","OK")</f>
        <v>OK</v>
      </c>
      <c r="L480" t="str">
        <f>IF(ISBLANK(C480),"Retragere sau depunere",IF(ISNA(VLOOKUP(C480,Conturi!A:A,1,FALSE)),"Lipsă","OK"))</f>
        <v>Retragere sau depunere</v>
      </c>
    </row>
    <row r="481" spans="1:12">
      <c r="A481">
        <v>495</v>
      </c>
      <c r="B481">
        <v>1158</v>
      </c>
      <c r="C481">
        <v>1104</v>
      </c>
      <c r="D481">
        <v>4657.17</v>
      </c>
      <c r="E481" s="2">
        <v>44770</v>
      </c>
      <c r="F481" t="s">
        <v>357</v>
      </c>
      <c r="I481" t="str">
        <f t="shared" si="14"/>
        <v>OK</v>
      </c>
      <c r="J481" t="str">
        <f t="shared" si="15"/>
        <v>OK</v>
      </c>
      <c r="K481" t="str">
        <f>IF(ISNA(VLOOKUP(B481,Conturi!A:A,1,FALSE)),"Lipsă","OK")</f>
        <v>OK</v>
      </c>
      <c r="L481" t="str">
        <f>IF(ISBLANK(C481),"Retragere sau depunere",IF(ISNA(VLOOKUP(C481,Conturi!A:A,1,FALSE)),"Lipsă","OK"))</f>
        <v>OK</v>
      </c>
    </row>
    <row r="482" spans="1:12">
      <c r="A482">
        <v>496</v>
      </c>
      <c r="B482">
        <v>1158</v>
      </c>
      <c r="D482">
        <v>4403.3100000000004</v>
      </c>
      <c r="E482" s="2">
        <v>44900</v>
      </c>
      <c r="F482" t="s">
        <v>356</v>
      </c>
      <c r="I482" t="str">
        <f t="shared" si="14"/>
        <v>OK</v>
      </c>
      <c r="J482" t="str">
        <f t="shared" si="15"/>
        <v>Lipsă</v>
      </c>
      <c r="K482" t="str">
        <f>IF(ISNA(VLOOKUP(B482,Conturi!A:A,1,FALSE)),"Lipsă","OK")</f>
        <v>OK</v>
      </c>
      <c r="L482" t="str">
        <f>IF(ISBLANK(C482),"Retragere sau depunere",IF(ISNA(VLOOKUP(C482,Conturi!A:A,1,FALSE)),"Lipsă","OK"))</f>
        <v>Retragere sau depunere</v>
      </c>
    </row>
    <row r="483" spans="1:12">
      <c r="A483">
        <v>497</v>
      </c>
      <c r="B483">
        <v>1159</v>
      </c>
      <c r="C483">
        <v>1167</v>
      </c>
      <c r="D483">
        <v>3084.39</v>
      </c>
      <c r="E483" s="2">
        <v>44728</v>
      </c>
      <c r="F483" t="s">
        <v>357</v>
      </c>
      <c r="I483" t="str">
        <f t="shared" si="14"/>
        <v>OK</v>
      </c>
      <c r="J483" t="str">
        <f t="shared" si="15"/>
        <v>OK</v>
      </c>
      <c r="K483" t="str">
        <f>IF(ISNA(VLOOKUP(B483,Conturi!A:A,1,FALSE)),"Lipsă","OK")</f>
        <v>OK</v>
      </c>
      <c r="L483" t="str">
        <f>IF(ISBLANK(C483),"Retragere sau depunere",IF(ISNA(VLOOKUP(C483,Conturi!A:A,1,FALSE)),"Lipsă","OK"))</f>
        <v>OK</v>
      </c>
    </row>
    <row r="484" spans="1:12">
      <c r="A484">
        <v>498</v>
      </c>
      <c r="B484">
        <v>1159</v>
      </c>
      <c r="D484">
        <v>4816.25</v>
      </c>
      <c r="E484" s="2">
        <v>44594</v>
      </c>
      <c r="F484" t="s">
        <v>356</v>
      </c>
      <c r="I484" t="str">
        <f t="shared" si="14"/>
        <v>OK</v>
      </c>
      <c r="J484" t="str">
        <f t="shared" si="15"/>
        <v>Lipsă</v>
      </c>
      <c r="K484" t="str">
        <f>IF(ISNA(VLOOKUP(B484,Conturi!A:A,1,FALSE)),"Lipsă","OK")</f>
        <v>OK</v>
      </c>
      <c r="L484" t="str">
        <f>IF(ISBLANK(C484),"Retragere sau depunere",IF(ISNA(VLOOKUP(C484,Conturi!A:A,1,FALSE)),"Lipsă","OK"))</f>
        <v>Retragere sau depunere</v>
      </c>
    </row>
    <row r="485" spans="1:12">
      <c r="A485">
        <v>499</v>
      </c>
      <c r="B485">
        <v>1159</v>
      </c>
      <c r="D485">
        <v>3748.47</v>
      </c>
      <c r="E485" s="2">
        <v>44684</v>
      </c>
      <c r="F485" t="s">
        <v>358</v>
      </c>
      <c r="I485" t="str">
        <f t="shared" si="14"/>
        <v>OK</v>
      </c>
      <c r="J485" t="str">
        <f t="shared" si="15"/>
        <v>Lipsă</v>
      </c>
      <c r="K485" t="str">
        <f>IF(ISNA(VLOOKUP(B485,Conturi!A:A,1,FALSE)),"Lipsă","OK")</f>
        <v>OK</v>
      </c>
      <c r="L485" t="str">
        <f>IF(ISBLANK(C485),"Retragere sau depunere",IF(ISNA(VLOOKUP(C485,Conturi!A:A,1,FALSE)),"Lipsă","OK"))</f>
        <v>Retragere sau depunere</v>
      </c>
    </row>
    <row r="486" spans="1:12">
      <c r="A486">
        <v>500</v>
      </c>
      <c r="B486">
        <v>1159</v>
      </c>
      <c r="C486">
        <v>1131</v>
      </c>
      <c r="D486">
        <v>1817.19</v>
      </c>
      <c r="E486" s="2">
        <v>44862</v>
      </c>
      <c r="F486" t="s">
        <v>357</v>
      </c>
      <c r="I486" t="str">
        <f t="shared" si="14"/>
        <v>OK</v>
      </c>
      <c r="J486" t="str">
        <f t="shared" si="15"/>
        <v>OK</v>
      </c>
      <c r="K486" t="str">
        <f>IF(ISNA(VLOOKUP(B486,Conturi!A:A,1,FALSE)),"Lipsă","OK")</f>
        <v>OK</v>
      </c>
      <c r="L486" t="str">
        <f>IF(ISBLANK(C486),"Retragere sau depunere",IF(ISNA(VLOOKUP(C486,Conturi!A:A,1,FALSE)),"Lipsă","OK"))</f>
        <v>OK</v>
      </c>
    </row>
    <row r="487" spans="1:12">
      <c r="A487">
        <v>501</v>
      </c>
      <c r="B487">
        <v>1159</v>
      </c>
      <c r="C487">
        <v>1148</v>
      </c>
      <c r="D487">
        <v>4322.25</v>
      </c>
      <c r="E487" s="2">
        <v>44768</v>
      </c>
      <c r="F487" t="s">
        <v>357</v>
      </c>
      <c r="I487" t="str">
        <f t="shared" si="14"/>
        <v>OK</v>
      </c>
      <c r="J487" t="str">
        <f t="shared" si="15"/>
        <v>OK</v>
      </c>
      <c r="K487" t="str">
        <f>IF(ISNA(VLOOKUP(B487,Conturi!A:A,1,FALSE)),"Lipsă","OK")</f>
        <v>OK</v>
      </c>
      <c r="L487" t="str">
        <f>IF(ISBLANK(C487),"Retragere sau depunere",IF(ISNA(VLOOKUP(C487,Conturi!A:A,1,FALSE)),"Lipsă","OK"))</f>
        <v>OK</v>
      </c>
    </row>
    <row r="488" spans="1:12">
      <c r="A488">
        <v>502</v>
      </c>
      <c r="B488">
        <v>1160</v>
      </c>
      <c r="C488">
        <v>1182</v>
      </c>
      <c r="D488">
        <v>1707.06</v>
      </c>
      <c r="E488" s="2">
        <v>44595</v>
      </c>
      <c r="F488" t="s">
        <v>357</v>
      </c>
      <c r="I488" t="str">
        <f t="shared" si="14"/>
        <v>OK</v>
      </c>
      <c r="J488" t="str">
        <f t="shared" si="15"/>
        <v>OK</v>
      </c>
      <c r="K488" t="str">
        <f>IF(ISNA(VLOOKUP(B488,Conturi!A:A,1,FALSE)),"Lipsă","OK")</f>
        <v>OK</v>
      </c>
      <c r="L488" t="str">
        <f>IF(ISBLANK(C488),"Retragere sau depunere",IF(ISNA(VLOOKUP(C488,Conturi!A:A,1,FALSE)),"Lipsă","OK"))</f>
        <v>OK</v>
      </c>
    </row>
    <row r="489" spans="1:12">
      <c r="A489">
        <v>503</v>
      </c>
      <c r="B489">
        <v>1160</v>
      </c>
      <c r="D489">
        <v>1126.48</v>
      </c>
      <c r="E489" s="2">
        <v>44759</v>
      </c>
      <c r="F489" t="s">
        <v>356</v>
      </c>
      <c r="I489" t="str">
        <f t="shared" si="14"/>
        <v>OK</v>
      </c>
      <c r="J489" t="str">
        <f t="shared" si="15"/>
        <v>Lipsă</v>
      </c>
      <c r="K489" t="str">
        <f>IF(ISNA(VLOOKUP(B489,Conturi!A:A,1,FALSE)),"Lipsă","OK")</f>
        <v>OK</v>
      </c>
      <c r="L489" t="str">
        <f>IF(ISBLANK(C489),"Retragere sau depunere",IF(ISNA(VLOOKUP(C489,Conturi!A:A,1,FALSE)),"Lipsă","OK"))</f>
        <v>Retragere sau depunere</v>
      </c>
    </row>
    <row r="490" spans="1:12">
      <c r="A490">
        <v>504</v>
      </c>
      <c r="B490">
        <v>1161</v>
      </c>
      <c r="D490">
        <v>792.18</v>
      </c>
      <c r="E490" s="2">
        <v>44749</v>
      </c>
      <c r="F490" t="s">
        <v>358</v>
      </c>
      <c r="I490" t="str">
        <f t="shared" si="14"/>
        <v>OK</v>
      </c>
      <c r="J490" t="str">
        <f t="shared" si="15"/>
        <v>Lipsă</v>
      </c>
      <c r="K490" t="str">
        <f>IF(ISNA(VLOOKUP(B490,Conturi!A:A,1,FALSE)),"Lipsă","OK")</f>
        <v>OK</v>
      </c>
      <c r="L490" t="str">
        <f>IF(ISBLANK(C490),"Retragere sau depunere",IF(ISNA(VLOOKUP(C490,Conturi!A:A,1,FALSE)),"Lipsă","OK"))</f>
        <v>Retragere sau depunere</v>
      </c>
    </row>
    <row r="491" spans="1:12">
      <c r="A491">
        <v>505</v>
      </c>
      <c r="B491">
        <v>1161</v>
      </c>
      <c r="C491">
        <v>1147</v>
      </c>
      <c r="D491">
        <v>3490.27</v>
      </c>
      <c r="E491" s="2">
        <v>44766</v>
      </c>
      <c r="F491" t="s">
        <v>357</v>
      </c>
      <c r="I491" t="str">
        <f t="shared" si="14"/>
        <v>OK</v>
      </c>
      <c r="J491" t="str">
        <f t="shared" si="15"/>
        <v>OK</v>
      </c>
      <c r="K491" t="str">
        <f>IF(ISNA(VLOOKUP(B491,Conturi!A:A,1,FALSE)),"Lipsă","OK")</f>
        <v>OK</v>
      </c>
      <c r="L491" t="str">
        <f>IF(ISBLANK(C491),"Retragere sau depunere",IF(ISNA(VLOOKUP(C491,Conturi!A:A,1,FALSE)),"Lipsă","OK"))</f>
        <v>OK</v>
      </c>
    </row>
    <row r="492" spans="1:12">
      <c r="A492">
        <v>506</v>
      </c>
      <c r="B492">
        <v>1161</v>
      </c>
      <c r="C492">
        <v>1169</v>
      </c>
      <c r="D492">
        <v>2732.25</v>
      </c>
      <c r="E492" s="2">
        <v>44676</v>
      </c>
      <c r="F492" t="s">
        <v>357</v>
      </c>
      <c r="I492" t="str">
        <f t="shared" si="14"/>
        <v>OK</v>
      </c>
      <c r="J492" t="str">
        <f t="shared" si="15"/>
        <v>OK</v>
      </c>
      <c r="K492" t="str">
        <f>IF(ISNA(VLOOKUP(B492,Conturi!A:A,1,FALSE)),"Lipsă","OK")</f>
        <v>OK</v>
      </c>
      <c r="L492" t="str">
        <f>IF(ISBLANK(C492),"Retragere sau depunere",IF(ISNA(VLOOKUP(C492,Conturi!A:A,1,FALSE)),"Lipsă","OK"))</f>
        <v>OK</v>
      </c>
    </row>
    <row r="493" spans="1:12">
      <c r="A493">
        <v>507</v>
      </c>
      <c r="B493">
        <v>1162</v>
      </c>
      <c r="C493">
        <v>1112</v>
      </c>
      <c r="D493">
        <v>4244.1499999999996</v>
      </c>
      <c r="E493" s="2">
        <v>44647</v>
      </c>
      <c r="F493" t="s">
        <v>357</v>
      </c>
      <c r="I493" t="str">
        <f t="shared" si="14"/>
        <v>OK</v>
      </c>
      <c r="J493" t="str">
        <f t="shared" si="15"/>
        <v>OK</v>
      </c>
      <c r="K493" t="str">
        <f>IF(ISNA(VLOOKUP(B493,Conturi!A:A,1,FALSE)),"Lipsă","OK")</f>
        <v>OK</v>
      </c>
      <c r="L493" t="str">
        <f>IF(ISBLANK(C493),"Retragere sau depunere",IF(ISNA(VLOOKUP(C493,Conturi!A:A,1,FALSE)),"Lipsă","OK"))</f>
        <v>OK</v>
      </c>
    </row>
    <row r="494" spans="1:12">
      <c r="A494">
        <v>508</v>
      </c>
      <c r="B494">
        <v>1162</v>
      </c>
      <c r="D494">
        <v>1330.61</v>
      </c>
      <c r="E494" s="2">
        <v>44604</v>
      </c>
      <c r="F494" t="s">
        <v>358</v>
      </c>
      <c r="I494" t="str">
        <f t="shared" si="14"/>
        <v>OK</v>
      </c>
      <c r="J494" t="str">
        <f t="shared" si="15"/>
        <v>Lipsă</v>
      </c>
      <c r="K494" t="str">
        <f>IF(ISNA(VLOOKUP(B494,Conturi!A:A,1,FALSE)),"Lipsă","OK")</f>
        <v>OK</v>
      </c>
      <c r="L494" t="str">
        <f>IF(ISBLANK(C494),"Retragere sau depunere",IF(ISNA(VLOOKUP(C494,Conturi!A:A,1,FALSE)),"Lipsă","OK"))</f>
        <v>Retragere sau depunere</v>
      </c>
    </row>
    <row r="495" spans="1:12">
      <c r="A495">
        <v>509</v>
      </c>
      <c r="B495">
        <v>1162</v>
      </c>
      <c r="D495">
        <v>3524.59</v>
      </c>
      <c r="E495" s="2">
        <v>44582</v>
      </c>
      <c r="F495" t="s">
        <v>356</v>
      </c>
      <c r="I495" t="str">
        <f t="shared" si="14"/>
        <v>OK</v>
      </c>
      <c r="J495" t="str">
        <f t="shared" si="15"/>
        <v>Lipsă</v>
      </c>
      <c r="K495" t="str">
        <f>IF(ISNA(VLOOKUP(B495,Conturi!A:A,1,FALSE)),"Lipsă","OK")</f>
        <v>OK</v>
      </c>
      <c r="L495" t="str">
        <f>IF(ISBLANK(C495),"Retragere sau depunere",IF(ISNA(VLOOKUP(C495,Conturi!A:A,1,FALSE)),"Lipsă","OK"))</f>
        <v>Retragere sau depunere</v>
      </c>
    </row>
    <row r="496" spans="1:12">
      <c r="A496">
        <v>510</v>
      </c>
      <c r="B496">
        <v>1163</v>
      </c>
      <c r="D496">
        <v>393.3</v>
      </c>
      <c r="E496" s="2">
        <v>44564</v>
      </c>
      <c r="F496" t="s">
        <v>358</v>
      </c>
      <c r="I496" t="str">
        <f t="shared" si="14"/>
        <v>OK</v>
      </c>
      <c r="J496" t="str">
        <f t="shared" si="15"/>
        <v>Lipsă</v>
      </c>
      <c r="K496" t="str">
        <f>IF(ISNA(VLOOKUP(B496,Conturi!A:A,1,FALSE)),"Lipsă","OK")</f>
        <v>OK</v>
      </c>
      <c r="L496" t="str">
        <f>IF(ISBLANK(C496),"Retragere sau depunere",IF(ISNA(VLOOKUP(C496,Conturi!A:A,1,FALSE)),"Lipsă","OK"))</f>
        <v>Retragere sau depunere</v>
      </c>
    </row>
    <row r="497" spans="1:12">
      <c r="A497">
        <v>511</v>
      </c>
      <c r="B497">
        <v>1163</v>
      </c>
      <c r="D497">
        <v>4268.88</v>
      </c>
      <c r="E497" s="2">
        <v>44829</v>
      </c>
      <c r="F497" t="s">
        <v>356</v>
      </c>
      <c r="I497" t="str">
        <f t="shared" si="14"/>
        <v>OK</v>
      </c>
      <c r="J497" t="str">
        <f t="shared" si="15"/>
        <v>Lipsă</v>
      </c>
      <c r="K497" t="str">
        <f>IF(ISNA(VLOOKUP(B497,Conturi!A:A,1,FALSE)),"Lipsă","OK")</f>
        <v>OK</v>
      </c>
      <c r="L497" t="str">
        <f>IF(ISBLANK(C497),"Retragere sau depunere",IF(ISNA(VLOOKUP(C497,Conturi!A:A,1,FALSE)),"Lipsă","OK"))</f>
        <v>Retragere sau depunere</v>
      </c>
    </row>
    <row r="498" spans="1:12">
      <c r="A498">
        <v>512</v>
      </c>
      <c r="B498">
        <v>1163</v>
      </c>
      <c r="C498">
        <v>1111</v>
      </c>
      <c r="D498">
        <v>3086.61</v>
      </c>
      <c r="E498" s="2">
        <v>44813</v>
      </c>
      <c r="F498" t="s">
        <v>357</v>
      </c>
      <c r="I498" t="str">
        <f t="shared" si="14"/>
        <v>OK</v>
      </c>
      <c r="J498" t="str">
        <f t="shared" si="15"/>
        <v>OK</v>
      </c>
      <c r="K498" t="str">
        <f>IF(ISNA(VLOOKUP(B498,Conturi!A:A,1,FALSE)),"Lipsă","OK")</f>
        <v>OK</v>
      </c>
      <c r="L498" t="str">
        <f>IF(ISBLANK(C498),"Retragere sau depunere",IF(ISNA(VLOOKUP(C498,Conturi!A:A,1,FALSE)),"Lipsă","OK"))</f>
        <v>OK</v>
      </c>
    </row>
    <row r="499" spans="1:12">
      <c r="A499">
        <v>513</v>
      </c>
      <c r="B499">
        <v>1163</v>
      </c>
      <c r="C499">
        <v>1172</v>
      </c>
      <c r="D499">
        <v>1269.8399999999999</v>
      </c>
      <c r="E499" s="2">
        <v>44810</v>
      </c>
      <c r="F499" t="s">
        <v>357</v>
      </c>
      <c r="I499" t="str">
        <f t="shared" si="14"/>
        <v>OK</v>
      </c>
      <c r="J499" t="str">
        <f t="shared" si="15"/>
        <v>OK</v>
      </c>
      <c r="K499" t="str">
        <f>IF(ISNA(VLOOKUP(B499,Conturi!A:A,1,FALSE)),"Lipsă","OK")</f>
        <v>OK</v>
      </c>
      <c r="L499" t="str">
        <f>IF(ISBLANK(C499),"Retragere sau depunere",IF(ISNA(VLOOKUP(C499,Conturi!A:A,1,FALSE)),"Lipsă","OK"))</f>
        <v>OK</v>
      </c>
    </row>
    <row r="500" spans="1:12">
      <c r="A500">
        <v>514</v>
      </c>
      <c r="B500">
        <v>1163</v>
      </c>
      <c r="D500">
        <v>593.44000000000005</v>
      </c>
      <c r="E500" s="2">
        <v>44904</v>
      </c>
      <c r="F500" t="s">
        <v>358</v>
      </c>
      <c r="I500" t="str">
        <f t="shared" si="14"/>
        <v>OK</v>
      </c>
      <c r="J500" t="str">
        <f t="shared" si="15"/>
        <v>Lipsă</v>
      </c>
      <c r="K500" t="str">
        <f>IF(ISNA(VLOOKUP(B500,Conturi!A:A,1,FALSE)),"Lipsă","OK")</f>
        <v>OK</v>
      </c>
      <c r="L500" t="str">
        <f>IF(ISBLANK(C500),"Retragere sau depunere",IF(ISNA(VLOOKUP(C500,Conturi!A:A,1,FALSE)),"Lipsă","OK"))</f>
        <v>Retragere sau depunere</v>
      </c>
    </row>
    <row r="501" spans="1:12">
      <c r="A501">
        <v>515</v>
      </c>
      <c r="B501">
        <v>1164</v>
      </c>
      <c r="D501">
        <v>2102.4299999999998</v>
      </c>
      <c r="E501" s="2">
        <v>44675</v>
      </c>
      <c r="F501" t="s">
        <v>356</v>
      </c>
      <c r="I501" t="str">
        <f t="shared" si="14"/>
        <v>OK</v>
      </c>
      <c r="J501" t="str">
        <f t="shared" si="15"/>
        <v>Lipsă</v>
      </c>
      <c r="K501" t="str">
        <f>IF(ISNA(VLOOKUP(B501,Conturi!A:A,1,FALSE)),"Lipsă","OK")</f>
        <v>OK</v>
      </c>
      <c r="L501" t="str">
        <f>IF(ISBLANK(C501),"Retragere sau depunere",IF(ISNA(VLOOKUP(C501,Conturi!A:A,1,FALSE)),"Lipsă","OK"))</f>
        <v>Retragere sau depunere</v>
      </c>
    </row>
    <row r="502" spans="1:12">
      <c r="A502">
        <v>516</v>
      </c>
      <c r="B502">
        <v>1164</v>
      </c>
      <c r="C502">
        <v>1024</v>
      </c>
      <c r="D502">
        <v>1413.05</v>
      </c>
      <c r="E502" s="2">
        <v>44897</v>
      </c>
      <c r="F502" t="s">
        <v>357</v>
      </c>
      <c r="I502" t="str">
        <f t="shared" si="14"/>
        <v>OK</v>
      </c>
      <c r="J502" t="str">
        <f t="shared" si="15"/>
        <v>OK</v>
      </c>
      <c r="K502" t="str">
        <f>IF(ISNA(VLOOKUP(B502,Conturi!A:A,1,FALSE)),"Lipsă","OK")</f>
        <v>OK</v>
      </c>
      <c r="L502" t="str">
        <f>IF(ISBLANK(C502),"Retragere sau depunere",IF(ISNA(VLOOKUP(C502,Conturi!A:A,1,FALSE)),"Lipsă","OK"))</f>
        <v>OK</v>
      </c>
    </row>
    <row r="503" spans="1:12">
      <c r="A503">
        <v>517</v>
      </c>
      <c r="B503">
        <v>1164</v>
      </c>
      <c r="D503">
        <v>2785.78</v>
      </c>
      <c r="E503" s="2">
        <v>44899</v>
      </c>
      <c r="F503" t="s">
        <v>356</v>
      </c>
      <c r="I503" t="str">
        <f t="shared" si="14"/>
        <v>OK</v>
      </c>
      <c r="J503" t="str">
        <f t="shared" si="15"/>
        <v>Lipsă</v>
      </c>
      <c r="K503" t="str">
        <f>IF(ISNA(VLOOKUP(B503,Conturi!A:A,1,FALSE)),"Lipsă","OK")</f>
        <v>OK</v>
      </c>
      <c r="L503" t="str">
        <f>IF(ISBLANK(C503),"Retragere sau depunere",IF(ISNA(VLOOKUP(C503,Conturi!A:A,1,FALSE)),"Lipsă","OK"))</f>
        <v>Retragere sau depunere</v>
      </c>
    </row>
    <row r="504" spans="1:12">
      <c r="A504">
        <v>518</v>
      </c>
      <c r="B504">
        <v>1164</v>
      </c>
      <c r="D504">
        <v>1687.83</v>
      </c>
      <c r="E504" s="2">
        <v>44764</v>
      </c>
      <c r="F504" t="s">
        <v>358</v>
      </c>
      <c r="I504" t="str">
        <f t="shared" si="14"/>
        <v>OK</v>
      </c>
      <c r="J504" t="str">
        <f t="shared" si="15"/>
        <v>Lipsă</v>
      </c>
      <c r="K504" t="str">
        <f>IF(ISNA(VLOOKUP(B504,Conturi!A:A,1,FALSE)),"Lipsă","OK")</f>
        <v>OK</v>
      </c>
      <c r="L504" t="str">
        <f>IF(ISBLANK(C504),"Retragere sau depunere",IF(ISNA(VLOOKUP(C504,Conturi!A:A,1,FALSE)),"Lipsă","OK"))</f>
        <v>Retragere sau depunere</v>
      </c>
    </row>
    <row r="505" spans="1:12">
      <c r="A505">
        <v>519</v>
      </c>
      <c r="B505">
        <v>1164</v>
      </c>
      <c r="D505">
        <v>823.7</v>
      </c>
      <c r="E505" s="2">
        <v>44708</v>
      </c>
      <c r="F505" t="s">
        <v>356</v>
      </c>
      <c r="I505" t="str">
        <f t="shared" si="14"/>
        <v>OK</v>
      </c>
      <c r="J505" t="str">
        <f t="shared" si="15"/>
        <v>Lipsă</v>
      </c>
      <c r="K505" t="str">
        <f>IF(ISNA(VLOOKUP(B505,Conturi!A:A,1,FALSE)),"Lipsă","OK")</f>
        <v>OK</v>
      </c>
      <c r="L505" t="str">
        <f>IF(ISBLANK(C505),"Retragere sau depunere",IF(ISNA(VLOOKUP(C505,Conturi!A:A,1,FALSE)),"Lipsă","OK"))</f>
        <v>Retragere sau depunere</v>
      </c>
    </row>
    <row r="506" spans="1:12">
      <c r="A506">
        <v>520</v>
      </c>
      <c r="B506">
        <v>1165</v>
      </c>
      <c r="C506">
        <v>1193</v>
      </c>
      <c r="D506">
        <v>64.8</v>
      </c>
      <c r="E506" s="2">
        <v>44825</v>
      </c>
      <c r="F506" t="s">
        <v>357</v>
      </c>
      <c r="I506" t="str">
        <f t="shared" si="14"/>
        <v>OK</v>
      </c>
      <c r="J506" t="str">
        <f t="shared" si="15"/>
        <v>OK</v>
      </c>
      <c r="K506" t="str">
        <f>IF(ISNA(VLOOKUP(B506,Conturi!A:A,1,FALSE)),"Lipsă","OK")</f>
        <v>OK</v>
      </c>
      <c r="L506" t="str">
        <f>IF(ISBLANK(C506),"Retragere sau depunere",IF(ISNA(VLOOKUP(C506,Conturi!A:A,1,FALSE)),"Lipsă","OK"))</f>
        <v>OK</v>
      </c>
    </row>
    <row r="507" spans="1:12">
      <c r="A507">
        <v>521</v>
      </c>
      <c r="B507">
        <v>1165</v>
      </c>
      <c r="D507">
        <v>4338.75</v>
      </c>
      <c r="E507" s="2">
        <v>44822</v>
      </c>
      <c r="F507" t="s">
        <v>358</v>
      </c>
      <c r="I507" t="str">
        <f t="shared" si="14"/>
        <v>OK</v>
      </c>
      <c r="J507" t="str">
        <f t="shared" si="15"/>
        <v>Lipsă</v>
      </c>
      <c r="K507" t="str">
        <f>IF(ISNA(VLOOKUP(B507,Conturi!A:A,1,FALSE)),"Lipsă","OK")</f>
        <v>OK</v>
      </c>
      <c r="L507" t="str">
        <f>IF(ISBLANK(C507),"Retragere sau depunere",IF(ISNA(VLOOKUP(C507,Conturi!A:A,1,FALSE)),"Lipsă","OK"))</f>
        <v>Retragere sau depunere</v>
      </c>
    </row>
    <row r="508" spans="1:12">
      <c r="A508">
        <v>522</v>
      </c>
      <c r="B508">
        <v>1165</v>
      </c>
      <c r="C508">
        <v>1178</v>
      </c>
      <c r="D508">
        <v>2994.53</v>
      </c>
      <c r="E508" s="2">
        <v>44574</v>
      </c>
      <c r="F508" t="s">
        <v>357</v>
      </c>
      <c r="I508" t="str">
        <f t="shared" si="14"/>
        <v>OK</v>
      </c>
      <c r="J508" t="str">
        <f t="shared" si="15"/>
        <v>OK</v>
      </c>
      <c r="K508" t="str">
        <f>IF(ISNA(VLOOKUP(B508,Conturi!A:A,1,FALSE)),"Lipsă","OK")</f>
        <v>OK</v>
      </c>
      <c r="L508" t="str">
        <f>IF(ISBLANK(C508),"Retragere sau depunere",IF(ISNA(VLOOKUP(C508,Conturi!A:A,1,FALSE)),"Lipsă","OK"))</f>
        <v>OK</v>
      </c>
    </row>
    <row r="509" spans="1:12">
      <c r="A509">
        <v>523</v>
      </c>
      <c r="B509">
        <v>1165</v>
      </c>
      <c r="D509">
        <v>364.22</v>
      </c>
      <c r="E509" s="2">
        <v>44717</v>
      </c>
      <c r="F509" t="s">
        <v>358</v>
      </c>
      <c r="I509" t="str">
        <f t="shared" si="14"/>
        <v>OK</v>
      </c>
      <c r="J509" t="str">
        <f t="shared" si="15"/>
        <v>Lipsă</v>
      </c>
      <c r="K509" t="str">
        <f>IF(ISNA(VLOOKUP(B509,Conturi!A:A,1,FALSE)),"Lipsă","OK")</f>
        <v>OK</v>
      </c>
      <c r="L509" t="str">
        <f>IF(ISBLANK(C509),"Retragere sau depunere",IF(ISNA(VLOOKUP(C509,Conturi!A:A,1,FALSE)),"Lipsă","OK"))</f>
        <v>Retragere sau depunere</v>
      </c>
    </row>
    <row r="510" spans="1:12">
      <c r="A510">
        <v>524</v>
      </c>
      <c r="B510">
        <v>1166</v>
      </c>
      <c r="D510">
        <v>1012.32</v>
      </c>
      <c r="E510" s="2">
        <v>44710</v>
      </c>
      <c r="F510" t="s">
        <v>356</v>
      </c>
      <c r="I510" t="str">
        <f t="shared" si="14"/>
        <v>OK</v>
      </c>
      <c r="J510" t="str">
        <f t="shared" si="15"/>
        <v>Lipsă</v>
      </c>
      <c r="K510" t="str">
        <f>IF(ISNA(VLOOKUP(B510,Conturi!A:A,1,FALSE)),"Lipsă","OK")</f>
        <v>OK</v>
      </c>
      <c r="L510" t="str">
        <f>IF(ISBLANK(C510),"Retragere sau depunere",IF(ISNA(VLOOKUP(C510,Conturi!A:A,1,FALSE)),"Lipsă","OK"))</f>
        <v>Retragere sau depunere</v>
      </c>
    </row>
    <row r="511" spans="1:12">
      <c r="A511">
        <v>525</v>
      </c>
      <c r="B511">
        <v>1166</v>
      </c>
      <c r="C511">
        <v>1193</v>
      </c>
      <c r="D511">
        <v>4402.84</v>
      </c>
      <c r="E511" s="2">
        <v>44920</v>
      </c>
      <c r="F511" t="s">
        <v>357</v>
      </c>
      <c r="I511" t="str">
        <f t="shared" si="14"/>
        <v>OK</v>
      </c>
      <c r="J511" t="str">
        <f t="shared" si="15"/>
        <v>OK</v>
      </c>
      <c r="K511" t="str">
        <f>IF(ISNA(VLOOKUP(B511,Conturi!A:A,1,FALSE)),"Lipsă","OK")</f>
        <v>OK</v>
      </c>
      <c r="L511" t="str">
        <f>IF(ISBLANK(C511),"Retragere sau depunere",IF(ISNA(VLOOKUP(C511,Conturi!A:A,1,FALSE)),"Lipsă","OK"))</f>
        <v>OK</v>
      </c>
    </row>
    <row r="512" spans="1:12">
      <c r="A512">
        <v>526</v>
      </c>
      <c r="B512">
        <v>1167</v>
      </c>
      <c r="D512">
        <v>4764.75</v>
      </c>
      <c r="E512" s="2">
        <v>44884</v>
      </c>
      <c r="F512" t="s">
        <v>358</v>
      </c>
      <c r="I512" t="str">
        <f t="shared" si="14"/>
        <v>OK</v>
      </c>
      <c r="J512" t="str">
        <f t="shared" si="15"/>
        <v>Lipsă</v>
      </c>
      <c r="K512" t="str">
        <f>IF(ISNA(VLOOKUP(B512,Conturi!A:A,1,FALSE)),"Lipsă","OK")</f>
        <v>OK</v>
      </c>
      <c r="L512" t="str">
        <f>IF(ISBLANK(C512),"Retragere sau depunere",IF(ISNA(VLOOKUP(C512,Conturi!A:A,1,FALSE)),"Lipsă","OK"))</f>
        <v>Retragere sau depunere</v>
      </c>
    </row>
    <row r="513" spans="1:12">
      <c r="A513">
        <v>527</v>
      </c>
      <c r="B513">
        <v>1168</v>
      </c>
      <c r="D513">
        <v>4818.84</v>
      </c>
      <c r="E513" s="2">
        <v>44921</v>
      </c>
      <c r="F513" t="s">
        <v>358</v>
      </c>
      <c r="I513" t="str">
        <f t="shared" si="14"/>
        <v>OK</v>
      </c>
      <c r="J513" t="str">
        <f t="shared" si="15"/>
        <v>Lipsă</v>
      </c>
      <c r="K513" t="str">
        <f>IF(ISNA(VLOOKUP(B513,Conturi!A:A,1,FALSE)),"Lipsă","OK")</f>
        <v>OK</v>
      </c>
      <c r="L513" t="str">
        <f>IF(ISBLANK(C513),"Retragere sau depunere",IF(ISNA(VLOOKUP(C513,Conturi!A:A,1,FALSE)),"Lipsă","OK"))</f>
        <v>Retragere sau depunere</v>
      </c>
    </row>
    <row r="514" spans="1:12">
      <c r="A514">
        <v>528</v>
      </c>
      <c r="B514">
        <v>1168</v>
      </c>
      <c r="C514">
        <v>1075</v>
      </c>
      <c r="D514">
        <v>2847.12</v>
      </c>
      <c r="E514" s="2">
        <v>44651</v>
      </c>
      <c r="F514" t="s">
        <v>357</v>
      </c>
      <c r="I514" t="str">
        <f t="shared" si="14"/>
        <v>OK</v>
      </c>
      <c r="J514" t="str">
        <f t="shared" si="15"/>
        <v>OK</v>
      </c>
      <c r="K514" t="str">
        <f>IF(ISNA(VLOOKUP(B514,Conturi!A:A,1,FALSE)),"Lipsă","OK")</f>
        <v>OK</v>
      </c>
      <c r="L514" t="str">
        <f>IF(ISBLANK(C514),"Retragere sau depunere",IF(ISNA(VLOOKUP(C514,Conturi!A:A,1,FALSE)),"Lipsă","OK"))</f>
        <v>OK</v>
      </c>
    </row>
    <row r="515" spans="1:12">
      <c r="A515">
        <v>529</v>
      </c>
      <c r="B515">
        <v>1169</v>
      </c>
      <c r="D515">
        <v>3157.84</v>
      </c>
      <c r="E515" s="2">
        <v>44660</v>
      </c>
      <c r="F515" t="s">
        <v>358</v>
      </c>
      <c r="I515" t="str">
        <f t="shared" ref="I515:I578" si="16">IF(D515&lt;0,"Greșit","OK")</f>
        <v>OK</v>
      </c>
      <c r="J515" t="str">
        <f t="shared" ref="J515:J578" si="17">IF(ISBLANK(C515),"Lipsă","OK")</f>
        <v>Lipsă</v>
      </c>
      <c r="K515" t="str">
        <f>IF(ISNA(VLOOKUP(B515,Conturi!A:A,1,FALSE)),"Lipsă","OK")</f>
        <v>OK</v>
      </c>
      <c r="L515" t="str">
        <f>IF(ISBLANK(C515),"Retragere sau depunere",IF(ISNA(VLOOKUP(C515,Conturi!A:A,1,FALSE)),"Lipsă","OK"))</f>
        <v>Retragere sau depunere</v>
      </c>
    </row>
    <row r="516" spans="1:12">
      <c r="A516">
        <v>530</v>
      </c>
      <c r="B516">
        <v>1170</v>
      </c>
      <c r="D516">
        <v>811.21</v>
      </c>
      <c r="E516" s="2">
        <v>44829</v>
      </c>
      <c r="F516" t="s">
        <v>356</v>
      </c>
      <c r="I516" t="str">
        <f t="shared" si="16"/>
        <v>OK</v>
      </c>
      <c r="J516" t="str">
        <f t="shared" si="17"/>
        <v>Lipsă</v>
      </c>
      <c r="K516" t="str">
        <f>IF(ISNA(VLOOKUP(B516,Conturi!A:A,1,FALSE)),"Lipsă","OK")</f>
        <v>OK</v>
      </c>
      <c r="L516" t="str">
        <f>IF(ISBLANK(C516),"Retragere sau depunere",IF(ISNA(VLOOKUP(C516,Conturi!A:A,1,FALSE)),"Lipsă","OK"))</f>
        <v>Retragere sau depunere</v>
      </c>
    </row>
    <row r="517" spans="1:12">
      <c r="A517">
        <v>531</v>
      </c>
      <c r="B517">
        <v>1170</v>
      </c>
      <c r="C517">
        <v>1073</v>
      </c>
      <c r="D517">
        <v>3791.51</v>
      </c>
      <c r="E517" s="2">
        <v>44647</v>
      </c>
      <c r="F517" t="s">
        <v>357</v>
      </c>
      <c r="I517" t="str">
        <f t="shared" si="16"/>
        <v>OK</v>
      </c>
      <c r="J517" t="str">
        <f t="shared" si="17"/>
        <v>OK</v>
      </c>
      <c r="K517" t="str">
        <f>IF(ISNA(VLOOKUP(B517,Conturi!A:A,1,FALSE)),"Lipsă","OK")</f>
        <v>OK</v>
      </c>
      <c r="L517" t="str">
        <f>IF(ISBLANK(C517),"Retragere sau depunere",IF(ISNA(VLOOKUP(C517,Conturi!A:A,1,FALSE)),"Lipsă","OK"))</f>
        <v>OK</v>
      </c>
    </row>
    <row r="518" spans="1:12">
      <c r="A518">
        <v>532</v>
      </c>
      <c r="B518">
        <v>1170</v>
      </c>
      <c r="D518">
        <v>2149.54</v>
      </c>
      <c r="E518" s="2">
        <v>44574</v>
      </c>
      <c r="F518" t="s">
        <v>356</v>
      </c>
      <c r="I518" t="str">
        <f t="shared" si="16"/>
        <v>OK</v>
      </c>
      <c r="J518" t="str">
        <f t="shared" si="17"/>
        <v>Lipsă</v>
      </c>
      <c r="K518" t="str">
        <f>IF(ISNA(VLOOKUP(B518,Conturi!A:A,1,FALSE)),"Lipsă","OK")</f>
        <v>OK</v>
      </c>
      <c r="L518" t="str">
        <f>IF(ISBLANK(C518),"Retragere sau depunere",IF(ISNA(VLOOKUP(C518,Conturi!A:A,1,FALSE)),"Lipsă","OK"))</f>
        <v>Retragere sau depunere</v>
      </c>
    </row>
    <row r="519" spans="1:12">
      <c r="A519">
        <v>533</v>
      </c>
      <c r="B519">
        <v>1170</v>
      </c>
      <c r="C519">
        <v>1057</v>
      </c>
      <c r="D519">
        <v>2127.73</v>
      </c>
      <c r="E519" s="2">
        <v>44925</v>
      </c>
      <c r="F519" t="s">
        <v>357</v>
      </c>
      <c r="I519" t="str">
        <f t="shared" si="16"/>
        <v>OK</v>
      </c>
      <c r="J519" t="str">
        <f t="shared" si="17"/>
        <v>OK</v>
      </c>
      <c r="K519" t="str">
        <f>IF(ISNA(VLOOKUP(B519,Conturi!A:A,1,FALSE)),"Lipsă","OK")</f>
        <v>OK</v>
      </c>
      <c r="L519" t="str">
        <f>IF(ISBLANK(C519),"Retragere sau depunere",IF(ISNA(VLOOKUP(C519,Conturi!A:A,1,FALSE)),"Lipsă","OK"))</f>
        <v>OK</v>
      </c>
    </row>
    <row r="520" spans="1:12">
      <c r="A520">
        <v>534</v>
      </c>
      <c r="B520">
        <v>1170</v>
      </c>
      <c r="D520">
        <v>2512.9299999999998</v>
      </c>
      <c r="E520" s="2">
        <v>44666</v>
      </c>
      <c r="F520" t="s">
        <v>356</v>
      </c>
      <c r="I520" t="str">
        <f t="shared" si="16"/>
        <v>OK</v>
      </c>
      <c r="J520" t="str">
        <f t="shared" si="17"/>
        <v>Lipsă</v>
      </c>
      <c r="K520" t="str">
        <f>IF(ISNA(VLOOKUP(B520,Conturi!A:A,1,FALSE)),"Lipsă","OK")</f>
        <v>OK</v>
      </c>
      <c r="L520" t="str">
        <f>IF(ISBLANK(C520),"Retragere sau depunere",IF(ISNA(VLOOKUP(C520,Conturi!A:A,1,FALSE)),"Lipsă","OK"))</f>
        <v>Retragere sau depunere</v>
      </c>
    </row>
    <row r="521" spans="1:12">
      <c r="A521">
        <v>535</v>
      </c>
      <c r="B521">
        <v>1171</v>
      </c>
      <c r="D521">
        <v>3612.6</v>
      </c>
      <c r="E521" s="2">
        <v>44891</v>
      </c>
      <c r="F521" t="s">
        <v>358</v>
      </c>
      <c r="I521" t="str">
        <f t="shared" si="16"/>
        <v>OK</v>
      </c>
      <c r="J521" t="str">
        <f t="shared" si="17"/>
        <v>Lipsă</v>
      </c>
      <c r="K521" t="str">
        <f>IF(ISNA(VLOOKUP(B521,Conturi!A:A,1,FALSE)),"Lipsă","OK")</f>
        <v>OK</v>
      </c>
      <c r="L521" t="str">
        <f>IF(ISBLANK(C521),"Retragere sau depunere",IF(ISNA(VLOOKUP(C521,Conturi!A:A,1,FALSE)),"Lipsă","OK"))</f>
        <v>Retragere sau depunere</v>
      </c>
    </row>
    <row r="522" spans="1:12">
      <c r="A522">
        <v>536</v>
      </c>
      <c r="B522">
        <v>1172</v>
      </c>
      <c r="D522">
        <v>312.69</v>
      </c>
      <c r="E522" s="2">
        <v>44595</v>
      </c>
      <c r="F522" t="s">
        <v>356</v>
      </c>
      <c r="I522" t="str">
        <f t="shared" si="16"/>
        <v>OK</v>
      </c>
      <c r="J522" t="str">
        <f t="shared" si="17"/>
        <v>Lipsă</v>
      </c>
      <c r="K522" t="str">
        <f>IF(ISNA(VLOOKUP(B522,Conturi!A:A,1,FALSE)),"Lipsă","OK")</f>
        <v>OK</v>
      </c>
      <c r="L522" t="str">
        <f>IF(ISBLANK(C522),"Retragere sau depunere",IF(ISNA(VLOOKUP(C522,Conturi!A:A,1,FALSE)),"Lipsă","OK"))</f>
        <v>Retragere sau depunere</v>
      </c>
    </row>
    <row r="523" spans="1:12">
      <c r="A523">
        <v>537</v>
      </c>
      <c r="B523">
        <v>1173</v>
      </c>
      <c r="D523">
        <v>2284.79</v>
      </c>
      <c r="E523" s="2">
        <v>44784</v>
      </c>
      <c r="F523" t="s">
        <v>356</v>
      </c>
      <c r="I523" t="str">
        <f t="shared" si="16"/>
        <v>OK</v>
      </c>
      <c r="J523" t="str">
        <f t="shared" si="17"/>
        <v>Lipsă</v>
      </c>
      <c r="K523" t="str">
        <f>IF(ISNA(VLOOKUP(B523,Conturi!A:A,1,FALSE)),"Lipsă","OK")</f>
        <v>OK</v>
      </c>
      <c r="L523" t="str">
        <f>IF(ISBLANK(C523),"Retragere sau depunere",IF(ISNA(VLOOKUP(C523,Conturi!A:A,1,FALSE)),"Lipsă","OK"))</f>
        <v>Retragere sau depunere</v>
      </c>
    </row>
    <row r="524" spans="1:12">
      <c r="A524">
        <v>538</v>
      </c>
      <c r="B524">
        <v>1173</v>
      </c>
      <c r="C524">
        <v>1191</v>
      </c>
      <c r="D524">
        <v>1667.99</v>
      </c>
      <c r="E524" s="2">
        <v>44892</v>
      </c>
      <c r="F524" t="s">
        <v>357</v>
      </c>
      <c r="I524" t="str">
        <f t="shared" si="16"/>
        <v>OK</v>
      </c>
      <c r="J524" t="str">
        <f t="shared" si="17"/>
        <v>OK</v>
      </c>
      <c r="K524" t="str">
        <f>IF(ISNA(VLOOKUP(B524,Conturi!A:A,1,FALSE)),"Lipsă","OK")</f>
        <v>OK</v>
      </c>
      <c r="L524" t="str">
        <f>IF(ISBLANK(C524),"Retragere sau depunere",IF(ISNA(VLOOKUP(C524,Conturi!A:A,1,FALSE)),"Lipsă","OK"))</f>
        <v>OK</v>
      </c>
    </row>
    <row r="525" spans="1:12">
      <c r="A525">
        <v>539</v>
      </c>
      <c r="B525">
        <v>1173</v>
      </c>
      <c r="D525">
        <v>1197.24</v>
      </c>
      <c r="E525" s="2">
        <v>44862</v>
      </c>
      <c r="F525" t="s">
        <v>358</v>
      </c>
      <c r="I525" t="str">
        <f t="shared" si="16"/>
        <v>OK</v>
      </c>
      <c r="J525" t="str">
        <f t="shared" si="17"/>
        <v>Lipsă</v>
      </c>
      <c r="K525" t="str">
        <f>IF(ISNA(VLOOKUP(B525,Conturi!A:A,1,FALSE)),"Lipsă","OK")</f>
        <v>OK</v>
      </c>
      <c r="L525" t="str">
        <f>IF(ISBLANK(C525),"Retragere sau depunere",IF(ISNA(VLOOKUP(C525,Conturi!A:A,1,FALSE)),"Lipsă","OK"))</f>
        <v>Retragere sau depunere</v>
      </c>
    </row>
    <row r="526" spans="1:12">
      <c r="A526">
        <v>540</v>
      </c>
      <c r="B526">
        <v>1173</v>
      </c>
      <c r="C526">
        <v>1142</v>
      </c>
      <c r="D526">
        <v>1614.79</v>
      </c>
      <c r="E526" s="2">
        <v>44726</v>
      </c>
      <c r="F526" t="s">
        <v>357</v>
      </c>
      <c r="I526" t="str">
        <f t="shared" si="16"/>
        <v>OK</v>
      </c>
      <c r="J526" t="str">
        <f t="shared" si="17"/>
        <v>OK</v>
      </c>
      <c r="K526" t="str">
        <f>IF(ISNA(VLOOKUP(B526,Conturi!A:A,1,FALSE)),"Lipsă","OK")</f>
        <v>OK</v>
      </c>
      <c r="L526" t="str">
        <f>IF(ISBLANK(C526),"Retragere sau depunere",IF(ISNA(VLOOKUP(C526,Conturi!A:A,1,FALSE)),"Lipsă","OK"))</f>
        <v>OK</v>
      </c>
    </row>
    <row r="527" spans="1:12">
      <c r="A527">
        <v>541</v>
      </c>
      <c r="B527">
        <v>1174</v>
      </c>
      <c r="C527">
        <v>1194</v>
      </c>
      <c r="D527">
        <v>3731.59</v>
      </c>
      <c r="E527" s="2">
        <v>44692</v>
      </c>
      <c r="F527" t="s">
        <v>357</v>
      </c>
      <c r="I527" t="str">
        <f t="shared" si="16"/>
        <v>OK</v>
      </c>
      <c r="J527" t="str">
        <f t="shared" si="17"/>
        <v>OK</v>
      </c>
      <c r="K527" t="str">
        <f>IF(ISNA(VLOOKUP(B527,Conturi!A:A,1,FALSE)),"Lipsă","OK")</f>
        <v>OK</v>
      </c>
      <c r="L527" t="str">
        <f>IF(ISBLANK(C527),"Retragere sau depunere",IF(ISNA(VLOOKUP(C527,Conturi!A:A,1,FALSE)),"Lipsă","OK"))</f>
        <v>OK</v>
      </c>
    </row>
    <row r="528" spans="1:12">
      <c r="A528">
        <v>542</v>
      </c>
      <c r="B528">
        <v>1174</v>
      </c>
      <c r="D528">
        <v>3610.8</v>
      </c>
      <c r="E528" s="2">
        <v>44806</v>
      </c>
      <c r="F528" t="s">
        <v>356</v>
      </c>
      <c r="I528" t="str">
        <f t="shared" si="16"/>
        <v>OK</v>
      </c>
      <c r="J528" t="str">
        <f t="shared" si="17"/>
        <v>Lipsă</v>
      </c>
      <c r="K528" t="str">
        <f>IF(ISNA(VLOOKUP(B528,Conturi!A:A,1,FALSE)),"Lipsă","OK")</f>
        <v>OK</v>
      </c>
      <c r="L528" t="str">
        <f>IF(ISBLANK(C528),"Retragere sau depunere",IF(ISNA(VLOOKUP(C528,Conturi!A:A,1,FALSE)),"Lipsă","OK"))</f>
        <v>Retragere sau depunere</v>
      </c>
    </row>
    <row r="529" spans="1:12">
      <c r="A529">
        <v>543</v>
      </c>
      <c r="B529">
        <v>1174</v>
      </c>
      <c r="D529">
        <v>2187.88</v>
      </c>
      <c r="E529" s="2">
        <v>44840</v>
      </c>
      <c r="F529" t="s">
        <v>356</v>
      </c>
      <c r="I529" t="str">
        <f t="shared" si="16"/>
        <v>OK</v>
      </c>
      <c r="J529" t="str">
        <f t="shared" si="17"/>
        <v>Lipsă</v>
      </c>
      <c r="K529" t="str">
        <f>IF(ISNA(VLOOKUP(B529,Conturi!A:A,1,FALSE)),"Lipsă","OK")</f>
        <v>OK</v>
      </c>
      <c r="L529" t="str">
        <f>IF(ISBLANK(C529),"Retragere sau depunere",IF(ISNA(VLOOKUP(C529,Conturi!A:A,1,FALSE)),"Lipsă","OK"))</f>
        <v>Retragere sau depunere</v>
      </c>
    </row>
    <row r="530" spans="1:12">
      <c r="A530">
        <v>544</v>
      </c>
      <c r="B530">
        <v>1175</v>
      </c>
      <c r="D530">
        <v>3311.83</v>
      </c>
      <c r="E530" s="2">
        <v>44603</v>
      </c>
      <c r="F530" t="s">
        <v>358</v>
      </c>
      <c r="I530" t="str">
        <f t="shared" si="16"/>
        <v>OK</v>
      </c>
      <c r="J530" t="str">
        <f t="shared" si="17"/>
        <v>Lipsă</v>
      </c>
      <c r="K530" t="str">
        <f>IF(ISNA(VLOOKUP(B530,Conturi!A:A,1,FALSE)),"Lipsă","OK")</f>
        <v>OK</v>
      </c>
      <c r="L530" t="str">
        <f>IF(ISBLANK(C530),"Retragere sau depunere",IF(ISNA(VLOOKUP(C530,Conturi!A:A,1,FALSE)),"Lipsă","OK"))</f>
        <v>Retragere sau depunere</v>
      </c>
    </row>
    <row r="531" spans="1:12">
      <c r="A531">
        <v>545</v>
      </c>
      <c r="B531">
        <v>1176</v>
      </c>
      <c r="D531">
        <v>4983.68</v>
      </c>
      <c r="E531" s="2">
        <v>44805</v>
      </c>
      <c r="F531" t="s">
        <v>356</v>
      </c>
      <c r="I531" t="str">
        <f t="shared" si="16"/>
        <v>OK</v>
      </c>
      <c r="J531" t="str">
        <f t="shared" si="17"/>
        <v>Lipsă</v>
      </c>
      <c r="K531" t="str">
        <f>IF(ISNA(VLOOKUP(B531,Conturi!A:A,1,FALSE)),"Lipsă","OK")</f>
        <v>OK</v>
      </c>
      <c r="L531" t="str">
        <f>IF(ISBLANK(C531),"Retragere sau depunere",IF(ISNA(VLOOKUP(C531,Conturi!A:A,1,FALSE)),"Lipsă","OK"))</f>
        <v>Retragere sau depunere</v>
      </c>
    </row>
    <row r="532" spans="1:12">
      <c r="A532">
        <v>546</v>
      </c>
      <c r="B532">
        <v>1176</v>
      </c>
      <c r="D532">
        <v>4414.88</v>
      </c>
      <c r="E532" s="2">
        <v>44733</v>
      </c>
      <c r="F532" t="s">
        <v>358</v>
      </c>
      <c r="I532" t="str">
        <f t="shared" si="16"/>
        <v>OK</v>
      </c>
      <c r="J532" t="str">
        <f t="shared" si="17"/>
        <v>Lipsă</v>
      </c>
      <c r="K532" t="str">
        <f>IF(ISNA(VLOOKUP(B532,Conturi!A:A,1,FALSE)),"Lipsă","OK")</f>
        <v>OK</v>
      </c>
      <c r="L532" t="str">
        <f>IF(ISBLANK(C532),"Retragere sau depunere",IF(ISNA(VLOOKUP(C532,Conturi!A:A,1,FALSE)),"Lipsă","OK"))</f>
        <v>Retragere sau depunere</v>
      </c>
    </row>
    <row r="533" spans="1:12">
      <c r="A533">
        <v>547</v>
      </c>
      <c r="B533">
        <v>1176</v>
      </c>
      <c r="D533">
        <v>2294.4899999999998</v>
      </c>
      <c r="E533" s="2">
        <v>44828</v>
      </c>
      <c r="F533" t="s">
        <v>356</v>
      </c>
      <c r="I533" t="str">
        <f t="shared" si="16"/>
        <v>OK</v>
      </c>
      <c r="J533" t="str">
        <f t="shared" si="17"/>
        <v>Lipsă</v>
      </c>
      <c r="K533" t="str">
        <f>IF(ISNA(VLOOKUP(B533,Conturi!A:A,1,FALSE)),"Lipsă","OK")</f>
        <v>OK</v>
      </c>
      <c r="L533" t="str">
        <f>IF(ISBLANK(C533),"Retragere sau depunere",IF(ISNA(VLOOKUP(C533,Conturi!A:A,1,FALSE)),"Lipsă","OK"))</f>
        <v>Retragere sau depunere</v>
      </c>
    </row>
    <row r="534" spans="1:12">
      <c r="A534">
        <v>548</v>
      </c>
      <c r="B534">
        <v>1176</v>
      </c>
      <c r="D534">
        <v>1283.83</v>
      </c>
      <c r="E534" s="2">
        <v>44665</v>
      </c>
      <c r="F534" t="s">
        <v>356</v>
      </c>
      <c r="I534" t="str">
        <f t="shared" si="16"/>
        <v>OK</v>
      </c>
      <c r="J534" t="str">
        <f t="shared" si="17"/>
        <v>Lipsă</v>
      </c>
      <c r="K534" t="str">
        <f>IF(ISNA(VLOOKUP(B534,Conturi!A:A,1,FALSE)),"Lipsă","OK")</f>
        <v>OK</v>
      </c>
      <c r="L534" t="str">
        <f>IF(ISBLANK(C534),"Retragere sau depunere",IF(ISNA(VLOOKUP(C534,Conturi!A:A,1,FALSE)),"Lipsă","OK"))</f>
        <v>Retragere sau depunere</v>
      </c>
    </row>
    <row r="535" spans="1:12">
      <c r="A535">
        <v>549</v>
      </c>
      <c r="B535">
        <v>1176</v>
      </c>
      <c r="C535">
        <v>1035</v>
      </c>
      <c r="D535">
        <v>1074.77</v>
      </c>
      <c r="E535" s="2">
        <v>44820</v>
      </c>
      <c r="F535" t="s">
        <v>357</v>
      </c>
      <c r="I535" t="str">
        <f t="shared" si="16"/>
        <v>OK</v>
      </c>
      <c r="J535" t="str">
        <f t="shared" si="17"/>
        <v>OK</v>
      </c>
      <c r="K535" t="str">
        <f>IF(ISNA(VLOOKUP(B535,Conturi!A:A,1,FALSE)),"Lipsă","OK")</f>
        <v>OK</v>
      </c>
      <c r="L535" t="str">
        <f>IF(ISBLANK(C535),"Retragere sau depunere",IF(ISNA(VLOOKUP(C535,Conturi!A:A,1,FALSE)),"Lipsă","OK"))</f>
        <v>OK</v>
      </c>
    </row>
    <row r="536" spans="1:12">
      <c r="A536">
        <v>550</v>
      </c>
      <c r="B536">
        <v>1177</v>
      </c>
      <c r="C536">
        <v>1048</v>
      </c>
      <c r="D536">
        <v>2087.21</v>
      </c>
      <c r="E536" s="2">
        <v>44747</v>
      </c>
      <c r="F536" t="s">
        <v>357</v>
      </c>
      <c r="I536" t="str">
        <f t="shared" si="16"/>
        <v>OK</v>
      </c>
      <c r="J536" t="str">
        <f t="shared" si="17"/>
        <v>OK</v>
      </c>
      <c r="K536" t="str">
        <f>IF(ISNA(VLOOKUP(B536,Conturi!A:A,1,FALSE)),"Lipsă","OK")</f>
        <v>OK</v>
      </c>
      <c r="L536" t="str">
        <f>IF(ISBLANK(C536),"Retragere sau depunere",IF(ISNA(VLOOKUP(C536,Conturi!A:A,1,FALSE)),"Lipsă","OK"))</f>
        <v>OK</v>
      </c>
    </row>
    <row r="537" spans="1:12">
      <c r="A537">
        <v>551</v>
      </c>
      <c r="B537">
        <v>1177</v>
      </c>
      <c r="D537">
        <v>4059.71</v>
      </c>
      <c r="E537" s="2">
        <v>44615</v>
      </c>
      <c r="F537" t="s">
        <v>356</v>
      </c>
      <c r="I537" t="str">
        <f t="shared" si="16"/>
        <v>OK</v>
      </c>
      <c r="J537" t="str">
        <f t="shared" si="17"/>
        <v>Lipsă</v>
      </c>
      <c r="K537" t="str">
        <f>IF(ISNA(VLOOKUP(B537,Conturi!A:A,1,FALSE)),"Lipsă","OK")</f>
        <v>OK</v>
      </c>
      <c r="L537" t="str">
        <f>IF(ISBLANK(C537),"Retragere sau depunere",IF(ISNA(VLOOKUP(C537,Conturi!A:A,1,FALSE)),"Lipsă","OK"))</f>
        <v>Retragere sau depunere</v>
      </c>
    </row>
    <row r="538" spans="1:12">
      <c r="A538">
        <v>552</v>
      </c>
      <c r="B538">
        <v>1177</v>
      </c>
      <c r="D538">
        <v>3415.61</v>
      </c>
      <c r="E538" s="2">
        <v>44754</v>
      </c>
      <c r="F538" t="s">
        <v>356</v>
      </c>
      <c r="I538" t="str">
        <f t="shared" si="16"/>
        <v>OK</v>
      </c>
      <c r="J538" t="str">
        <f t="shared" si="17"/>
        <v>Lipsă</v>
      </c>
      <c r="K538" t="str">
        <f>IF(ISNA(VLOOKUP(B538,Conturi!A:A,1,FALSE)),"Lipsă","OK")</f>
        <v>OK</v>
      </c>
      <c r="L538" t="str">
        <f>IF(ISBLANK(C538),"Retragere sau depunere",IF(ISNA(VLOOKUP(C538,Conturi!A:A,1,FALSE)),"Lipsă","OK"))</f>
        <v>Retragere sau depunere</v>
      </c>
    </row>
    <row r="539" spans="1:12">
      <c r="A539">
        <v>553</v>
      </c>
      <c r="B539">
        <v>1178</v>
      </c>
      <c r="D539">
        <v>1412.16</v>
      </c>
      <c r="E539" s="2">
        <v>44681</v>
      </c>
      <c r="F539" t="s">
        <v>358</v>
      </c>
      <c r="I539" t="str">
        <f t="shared" si="16"/>
        <v>OK</v>
      </c>
      <c r="J539" t="str">
        <f t="shared" si="17"/>
        <v>Lipsă</v>
      </c>
      <c r="K539" t="str">
        <f>IF(ISNA(VLOOKUP(B539,Conturi!A:A,1,FALSE)),"Lipsă","OK")</f>
        <v>OK</v>
      </c>
      <c r="L539" t="str">
        <f>IF(ISBLANK(C539),"Retragere sau depunere",IF(ISNA(VLOOKUP(C539,Conturi!A:A,1,FALSE)),"Lipsă","OK"))</f>
        <v>Retragere sau depunere</v>
      </c>
    </row>
    <row r="540" spans="1:12">
      <c r="A540">
        <v>554</v>
      </c>
      <c r="B540">
        <v>1179</v>
      </c>
      <c r="C540">
        <v>1061</v>
      </c>
      <c r="D540">
        <v>1629.46</v>
      </c>
      <c r="E540" s="2">
        <v>44614</v>
      </c>
      <c r="F540" t="s">
        <v>357</v>
      </c>
      <c r="I540" t="str">
        <f t="shared" si="16"/>
        <v>OK</v>
      </c>
      <c r="J540" t="str">
        <f t="shared" si="17"/>
        <v>OK</v>
      </c>
      <c r="K540" t="str">
        <f>IF(ISNA(VLOOKUP(B540,Conturi!A:A,1,FALSE)),"Lipsă","OK")</f>
        <v>OK</v>
      </c>
      <c r="L540" t="str">
        <f>IF(ISBLANK(C540),"Retragere sau depunere",IF(ISNA(VLOOKUP(C540,Conturi!A:A,1,FALSE)),"Lipsă","OK"))</f>
        <v>OK</v>
      </c>
    </row>
    <row r="541" spans="1:12">
      <c r="A541">
        <v>555</v>
      </c>
      <c r="B541">
        <v>1180</v>
      </c>
      <c r="D541">
        <v>96.55</v>
      </c>
      <c r="E541" s="2">
        <v>44715</v>
      </c>
      <c r="F541" t="s">
        <v>356</v>
      </c>
      <c r="I541" t="str">
        <f t="shared" si="16"/>
        <v>OK</v>
      </c>
      <c r="J541" t="str">
        <f t="shared" si="17"/>
        <v>Lipsă</v>
      </c>
      <c r="K541" t="str">
        <f>IF(ISNA(VLOOKUP(B541,Conturi!A:A,1,FALSE)),"Lipsă","OK")</f>
        <v>OK</v>
      </c>
      <c r="L541" t="str">
        <f>IF(ISBLANK(C541),"Retragere sau depunere",IF(ISNA(VLOOKUP(C541,Conturi!A:A,1,FALSE)),"Lipsă","OK"))</f>
        <v>Retragere sau depunere</v>
      </c>
    </row>
    <row r="542" spans="1:12">
      <c r="A542">
        <v>556</v>
      </c>
      <c r="B542">
        <v>1180</v>
      </c>
      <c r="C542">
        <v>1025</v>
      </c>
      <c r="D542">
        <v>2109.62</v>
      </c>
      <c r="E542" s="2">
        <v>44633</v>
      </c>
      <c r="F542" t="s">
        <v>357</v>
      </c>
      <c r="I542" t="str">
        <f t="shared" si="16"/>
        <v>OK</v>
      </c>
      <c r="J542" t="str">
        <f t="shared" si="17"/>
        <v>OK</v>
      </c>
      <c r="K542" t="str">
        <f>IF(ISNA(VLOOKUP(B542,Conturi!A:A,1,FALSE)),"Lipsă","OK")</f>
        <v>OK</v>
      </c>
      <c r="L542" t="str">
        <f>IF(ISBLANK(C542),"Retragere sau depunere",IF(ISNA(VLOOKUP(C542,Conturi!A:A,1,FALSE)),"Lipsă","OK"))</f>
        <v>OK</v>
      </c>
    </row>
    <row r="543" spans="1:12">
      <c r="A543">
        <v>557</v>
      </c>
      <c r="B543">
        <v>1180</v>
      </c>
      <c r="D543">
        <v>1620.38</v>
      </c>
      <c r="E543" s="2">
        <v>44562</v>
      </c>
      <c r="F543" t="s">
        <v>358</v>
      </c>
      <c r="I543" t="str">
        <f t="shared" si="16"/>
        <v>OK</v>
      </c>
      <c r="J543" t="str">
        <f t="shared" si="17"/>
        <v>Lipsă</v>
      </c>
      <c r="K543" t="str">
        <f>IF(ISNA(VLOOKUP(B543,Conturi!A:A,1,FALSE)),"Lipsă","OK")</f>
        <v>OK</v>
      </c>
      <c r="L543" t="str">
        <f>IF(ISBLANK(C543),"Retragere sau depunere",IF(ISNA(VLOOKUP(C543,Conturi!A:A,1,FALSE)),"Lipsă","OK"))</f>
        <v>Retragere sau depunere</v>
      </c>
    </row>
    <row r="544" spans="1:12">
      <c r="A544">
        <v>558</v>
      </c>
      <c r="B544">
        <v>1181</v>
      </c>
      <c r="C544">
        <v>1142</v>
      </c>
      <c r="D544">
        <v>611.87</v>
      </c>
      <c r="E544" s="2">
        <v>44817</v>
      </c>
      <c r="F544" t="s">
        <v>357</v>
      </c>
      <c r="I544" t="str">
        <f t="shared" si="16"/>
        <v>OK</v>
      </c>
      <c r="J544" t="str">
        <f t="shared" si="17"/>
        <v>OK</v>
      </c>
      <c r="K544" t="str">
        <f>IF(ISNA(VLOOKUP(B544,Conturi!A:A,1,FALSE)),"Lipsă","OK")</f>
        <v>OK</v>
      </c>
      <c r="L544" t="str">
        <f>IF(ISBLANK(C544),"Retragere sau depunere",IF(ISNA(VLOOKUP(C544,Conturi!A:A,1,FALSE)),"Lipsă","OK"))</f>
        <v>OK</v>
      </c>
    </row>
    <row r="545" spans="1:12">
      <c r="A545">
        <v>559</v>
      </c>
      <c r="B545">
        <v>1181</v>
      </c>
      <c r="D545">
        <v>4164.74</v>
      </c>
      <c r="E545" s="2">
        <v>44851</v>
      </c>
      <c r="F545" t="s">
        <v>358</v>
      </c>
      <c r="I545" t="str">
        <f t="shared" si="16"/>
        <v>OK</v>
      </c>
      <c r="J545" t="str">
        <f t="shared" si="17"/>
        <v>Lipsă</v>
      </c>
      <c r="K545" t="str">
        <f>IF(ISNA(VLOOKUP(B545,Conturi!A:A,1,FALSE)),"Lipsă","OK")</f>
        <v>OK</v>
      </c>
      <c r="L545" t="str">
        <f>IF(ISBLANK(C545),"Retragere sau depunere",IF(ISNA(VLOOKUP(C545,Conturi!A:A,1,FALSE)),"Lipsă","OK"))</f>
        <v>Retragere sau depunere</v>
      </c>
    </row>
    <row r="546" spans="1:12">
      <c r="A546">
        <v>560</v>
      </c>
      <c r="B546">
        <v>1181</v>
      </c>
      <c r="D546">
        <v>4929.66</v>
      </c>
      <c r="E546" s="2">
        <v>44617</v>
      </c>
      <c r="F546" t="s">
        <v>358</v>
      </c>
      <c r="I546" t="str">
        <f t="shared" si="16"/>
        <v>OK</v>
      </c>
      <c r="J546" t="str">
        <f t="shared" si="17"/>
        <v>Lipsă</v>
      </c>
      <c r="K546" t="str">
        <f>IF(ISNA(VLOOKUP(B546,Conturi!A:A,1,FALSE)),"Lipsă","OK")</f>
        <v>OK</v>
      </c>
      <c r="L546" t="str">
        <f>IF(ISBLANK(C546),"Retragere sau depunere",IF(ISNA(VLOOKUP(C546,Conturi!A:A,1,FALSE)),"Lipsă","OK"))</f>
        <v>Retragere sau depunere</v>
      </c>
    </row>
    <row r="547" spans="1:12">
      <c r="A547">
        <v>561</v>
      </c>
      <c r="B547">
        <v>1181</v>
      </c>
      <c r="C547">
        <v>1045</v>
      </c>
      <c r="D547">
        <v>1235.6099999999999</v>
      </c>
      <c r="E547" s="2">
        <v>44562</v>
      </c>
      <c r="F547" t="s">
        <v>357</v>
      </c>
      <c r="I547" t="str">
        <f t="shared" si="16"/>
        <v>OK</v>
      </c>
      <c r="J547" t="str">
        <f t="shared" si="17"/>
        <v>OK</v>
      </c>
      <c r="K547" t="str">
        <f>IF(ISNA(VLOOKUP(B547,Conturi!A:A,1,FALSE)),"Lipsă","OK")</f>
        <v>OK</v>
      </c>
      <c r="L547" t="str">
        <f>IF(ISBLANK(C547),"Retragere sau depunere",IF(ISNA(VLOOKUP(C547,Conturi!A:A,1,FALSE)),"Lipsă","OK"))</f>
        <v>OK</v>
      </c>
    </row>
    <row r="548" spans="1:12">
      <c r="A548">
        <v>562</v>
      </c>
      <c r="B548">
        <v>1182</v>
      </c>
      <c r="D548">
        <v>3429.41</v>
      </c>
      <c r="E548" s="2">
        <v>44692</v>
      </c>
      <c r="F548" t="s">
        <v>358</v>
      </c>
      <c r="I548" t="str">
        <f t="shared" si="16"/>
        <v>OK</v>
      </c>
      <c r="J548" t="str">
        <f t="shared" si="17"/>
        <v>Lipsă</v>
      </c>
      <c r="K548" t="str">
        <f>IF(ISNA(VLOOKUP(B548,Conturi!A:A,1,FALSE)),"Lipsă","OK")</f>
        <v>OK</v>
      </c>
      <c r="L548" t="str">
        <f>IF(ISBLANK(C548),"Retragere sau depunere",IF(ISNA(VLOOKUP(C548,Conturi!A:A,1,FALSE)),"Lipsă","OK"))</f>
        <v>Retragere sau depunere</v>
      </c>
    </row>
    <row r="549" spans="1:12">
      <c r="A549">
        <v>563</v>
      </c>
      <c r="B549">
        <v>1183</v>
      </c>
      <c r="D549">
        <v>385.47</v>
      </c>
      <c r="E549" s="2">
        <v>44788</v>
      </c>
      <c r="F549" t="s">
        <v>358</v>
      </c>
      <c r="I549" t="str">
        <f t="shared" si="16"/>
        <v>OK</v>
      </c>
      <c r="J549" t="str">
        <f t="shared" si="17"/>
        <v>Lipsă</v>
      </c>
      <c r="K549" t="str">
        <f>IF(ISNA(VLOOKUP(B549,Conturi!A:A,1,FALSE)),"Lipsă","OK")</f>
        <v>OK</v>
      </c>
      <c r="L549" t="str">
        <f>IF(ISBLANK(C549),"Retragere sau depunere",IF(ISNA(VLOOKUP(C549,Conturi!A:A,1,FALSE)),"Lipsă","OK"))</f>
        <v>Retragere sau depunere</v>
      </c>
    </row>
    <row r="550" spans="1:12">
      <c r="A550">
        <v>564</v>
      </c>
      <c r="B550">
        <v>1183</v>
      </c>
      <c r="D550">
        <v>2504.8000000000002</v>
      </c>
      <c r="E550" s="2">
        <v>44836</v>
      </c>
      <c r="F550" t="s">
        <v>358</v>
      </c>
      <c r="I550" t="str">
        <f t="shared" si="16"/>
        <v>OK</v>
      </c>
      <c r="J550" t="str">
        <f t="shared" si="17"/>
        <v>Lipsă</v>
      </c>
      <c r="K550" t="str">
        <f>IF(ISNA(VLOOKUP(B550,Conturi!A:A,1,FALSE)),"Lipsă","OK")</f>
        <v>OK</v>
      </c>
      <c r="L550" t="str">
        <f>IF(ISBLANK(C550),"Retragere sau depunere",IF(ISNA(VLOOKUP(C550,Conturi!A:A,1,FALSE)),"Lipsă","OK"))</f>
        <v>Retragere sau depunere</v>
      </c>
    </row>
    <row r="551" spans="1:12">
      <c r="A551">
        <v>565</v>
      </c>
      <c r="B551">
        <v>1184</v>
      </c>
      <c r="C551">
        <v>1046</v>
      </c>
      <c r="D551">
        <v>228.97</v>
      </c>
      <c r="E551" s="2">
        <v>44651</v>
      </c>
      <c r="F551" t="s">
        <v>357</v>
      </c>
      <c r="I551" t="str">
        <f t="shared" si="16"/>
        <v>OK</v>
      </c>
      <c r="J551" t="str">
        <f t="shared" si="17"/>
        <v>OK</v>
      </c>
      <c r="K551" t="str">
        <f>IF(ISNA(VLOOKUP(B551,Conturi!A:A,1,FALSE)),"Lipsă","OK")</f>
        <v>OK</v>
      </c>
      <c r="L551" t="str">
        <f>IF(ISBLANK(C551),"Retragere sau depunere",IF(ISNA(VLOOKUP(C551,Conturi!A:A,1,FALSE)),"Lipsă","OK"))</f>
        <v>OK</v>
      </c>
    </row>
    <row r="552" spans="1:12">
      <c r="A552">
        <v>566</v>
      </c>
      <c r="B552">
        <v>1184</v>
      </c>
      <c r="D552">
        <v>1692.64</v>
      </c>
      <c r="E552" s="2">
        <v>44590</v>
      </c>
      <c r="F552" t="s">
        <v>356</v>
      </c>
      <c r="I552" t="str">
        <f t="shared" si="16"/>
        <v>OK</v>
      </c>
      <c r="J552" t="str">
        <f t="shared" si="17"/>
        <v>Lipsă</v>
      </c>
      <c r="K552" t="str">
        <f>IF(ISNA(VLOOKUP(B552,Conturi!A:A,1,FALSE)),"Lipsă","OK")</f>
        <v>OK</v>
      </c>
      <c r="L552" t="str">
        <f>IF(ISBLANK(C552),"Retragere sau depunere",IF(ISNA(VLOOKUP(C552,Conturi!A:A,1,FALSE)),"Lipsă","OK"))</f>
        <v>Retragere sau depunere</v>
      </c>
    </row>
    <row r="553" spans="1:12">
      <c r="A553">
        <v>567</v>
      </c>
      <c r="B553">
        <v>1185</v>
      </c>
      <c r="D553">
        <v>554.77</v>
      </c>
      <c r="E553" s="2">
        <v>44727</v>
      </c>
      <c r="F553" t="s">
        <v>358</v>
      </c>
      <c r="I553" t="str">
        <f t="shared" si="16"/>
        <v>OK</v>
      </c>
      <c r="J553" t="str">
        <f t="shared" si="17"/>
        <v>Lipsă</v>
      </c>
      <c r="K553" t="str">
        <f>IF(ISNA(VLOOKUP(B553,Conturi!A:A,1,FALSE)),"Lipsă","OK")</f>
        <v>OK</v>
      </c>
      <c r="L553" t="str">
        <f>IF(ISBLANK(C553),"Retragere sau depunere",IF(ISNA(VLOOKUP(C553,Conturi!A:A,1,FALSE)),"Lipsă","OK"))</f>
        <v>Retragere sau depunere</v>
      </c>
    </row>
    <row r="554" spans="1:12">
      <c r="A554">
        <v>568</v>
      </c>
      <c r="B554">
        <v>1185</v>
      </c>
      <c r="C554">
        <v>1086</v>
      </c>
      <c r="D554">
        <v>3790.89</v>
      </c>
      <c r="E554" s="2">
        <v>44912</v>
      </c>
      <c r="F554" t="s">
        <v>357</v>
      </c>
      <c r="I554" t="str">
        <f t="shared" si="16"/>
        <v>OK</v>
      </c>
      <c r="J554" t="str">
        <f t="shared" si="17"/>
        <v>OK</v>
      </c>
      <c r="K554" t="str">
        <f>IF(ISNA(VLOOKUP(B554,Conturi!A:A,1,FALSE)),"Lipsă","OK")</f>
        <v>OK</v>
      </c>
      <c r="L554" t="str">
        <f>IF(ISBLANK(C554),"Retragere sau depunere",IF(ISNA(VLOOKUP(C554,Conturi!A:A,1,FALSE)),"Lipsă","OK"))</f>
        <v>OK</v>
      </c>
    </row>
    <row r="555" spans="1:12">
      <c r="A555">
        <v>569</v>
      </c>
      <c r="B555">
        <v>1185</v>
      </c>
      <c r="C555">
        <v>1094</v>
      </c>
      <c r="D555">
        <v>3378.96</v>
      </c>
      <c r="E555" s="2">
        <v>44756</v>
      </c>
      <c r="F555" t="s">
        <v>357</v>
      </c>
      <c r="I555" t="str">
        <f t="shared" si="16"/>
        <v>OK</v>
      </c>
      <c r="J555" t="str">
        <f t="shared" si="17"/>
        <v>OK</v>
      </c>
      <c r="K555" t="str">
        <f>IF(ISNA(VLOOKUP(B555,Conturi!A:A,1,FALSE)),"Lipsă","OK")</f>
        <v>OK</v>
      </c>
      <c r="L555" t="str">
        <f>IF(ISBLANK(C555),"Retragere sau depunere",IF(ISNA(VLOOKUP(C555,Conturi!A:A,1,FALSE)),"Lipsă","OK"))</f>
        <v>OK</v>
      </c>
    </row>
    <row r="556" spans="1:12">
      <c r="A556">
        <v>570</v>
      </c>
      <c r="B556">
        <v>1185</v>
      </c>
      <c r="D556">
        <v>3799.93</v>
      </c>
      <c r="E556" s="2">
        <v>44869</v>
      </c>
      <c r="F556" t="s">
        <v>358</v>
      </c>
      <c r="I556" t="str">
        <f t="shared" si="16"/>
        <v>OK</v>
      </c>
      <c r="J556" t="str">
        <f t="shared" si="17"/>
        <v>Lipsă</v>
      </c>
      <c r="K556" t="str">
        <f>IF(ISNA(VLOOKUP(B556,Conturi!A:A,1,FALSE)),"Lipsă","OK")</f>
        <v>OK</v>
      </c>
      <c r="L556" t="str">
        <f>IF(ISBLANK(C556),"Retragere sau depunere",IF(ISNA(VLOOKUP(C556,Conturi!A:A,1,FALSE)),"Lipsă","OK"))</f>
        <v>Retragere sau depunere</v>
      </c>
    </row>
    <row r="557" spans="1:12">
      <c r="A557">
        <v>571</v>
      </c>
      <c r="B557">
        <v>1186</v>
      </c>
      <c r="D557">
        <v>1833.66</v>
      </c>
      <c r="E557" s="2">
        <v>44911</v>
      </c>
      <c r="F557" t="s">
        <v>358</v>
      </c>
      <c r="I557" t="str">
        <f t="shared" si="16"/>
        <v>OK</v>
      </c>
      <c r="J557" t="str">
        <f t="shared" si="17"/>
        <v>Lipsă</v>
      </c>
      <c r="K557" t="str">
        <f>IF(ISNA(VLOOKUP(B557,Conturi!A:A,1,FALSE)),"Lipsă","OK")</f>
        <v>OK</v>
      </c>
      <c r="L557" t="str">
        <f>IF(ISBLANK(C557),"Retragere sau depunere",IF(ISNA(VLOOKUP(C557,Conturi!A:A,1,FALSE)),"Lipsă","OK"))</f>
        <v>Retragere sau depunere</v>
      </c>
    </row>
    <row r="558" spans="1:12">
      <c r="A558">
        <v>572</v>
      </c>
      <c r="B558">
        <v>1186</v>
      </c>
      <c r="D558">
        <v>552.95000000000005</v>
      </c>
      <c r="E558" s="2">
        <v>44692</v>
      </c>
      <c r="F558" t="s">
        <v>358</v>
      </c>
      <c r="I558" t="str">
        <f t="shared" si="16"/>
        <v>OK</v>
      </c>
      <c r="J558" t="str">
        <f t="shared" si="17"/>
        <v>Lipsă</v>
      </c>
      <c r="K558" t="str">
        <f>IF(ISNA(VLOOKUP(B558,Conturi!A:A,1,FALSE)),"Lipsă","OK")</f>
        <v>OK</v>
      </c>
      <c r="L558" t="str">
        <f>IF(ISBLANK(C558),"Retragere sau depunere",IF(ISNA(VLOOKUP(C558,Conturi!A:A,1,FALSE)),"Lipsă","OK"))</f>
        <v>Retragere sau depunere</v>
      </c>
    </row>
    <row r="559" spans="1:12">
      <c r="A559">
        <v>573</v>
      </c>
      <c r="B559">
        <v>1186</v>
      </c>
      <c r="C559">
        <v>1039</v>
      </c>
      <c r="D559">
        <v>3911.39</v>
      </c>
      <c r="E559" s="2">
        <v>44693</v>
      </c>
      <c r="F559" t="s">
        <v>357</v>
      </c>
      <c r="I559" t="str">
        <f t="shared" si="16"/>
        <v>OK</v>
      </c>
      <c r="J559" t="str">
        <f t="shared" si="17"/>
        <v>OK</v>
      </c>
      <c r="K559" t="str">
        <f>IF(ISNA(VLOOKUP(B559,Conturi!A:A,1,FALSE)),"Lipsă","OK")</f>
        <v>OK</v>
      </c>
      <c r="L559" t="str">
        <f>IF(ISBLANK(C559),"Retragere sau depunere",IF(ISNA(VLOOKUP(C559,Conturi!A:A,1,FALSE)),"Lipsă","OK"))</f>
        <v>OK</v>
      </c>
    </row>
    <row r="560" spans="1:12">
      <c r="A560">
        <v>574</v>
      </c>
      <c r="B560">
        <v>1187</v>
      </c>
      <c r="C560">
        <v>1017</v>
      </c>
      <c r="D560">
        <v>3189.64</v>
      </c>
      <c r="E560" s="2">
        <v>44818</v>
      </c>
      <c r="F560" t="s">
        <v>357</v>
      </c>
      <c r="I560" t="str">
        <f t="shared" si="16"/>
        <v>OK</v>
      </c>
      <c r="J560" t="str">
        <f t="shared" si="17"/>
        <v>OK</v>
      </c>
      <c r="K560" t="str">
        <f>IF(ISNA(VLOOKUP(B560,Conturi!A:A,1,FALSE)),"Lipsă","OK")</f>
        <v>OK</v>
      </c>
      <c r="L560" t="str">
        <f>IF(ISBLANK(C560),"Retragere sau depunere",IF(ISNA(VLOOKUP(C560,Conturi!A:A,1,FALSE)),"Lipsă","OK"))</f>
        <v>OK</v>
      </c>
    </row>
    <row r="561" spans="1:12">
      <c r="A561">
        <v>575</v>
      </c>
      <c r="B561">
        <v>1187</v>
      </c>
      <c r="D561">
        <v>3781.74</v>
      </c>
      <c r="E561" s="2">
        <v>44585</v>
      </c>
      <c r="F561" t="s">
        <v>356</v>
      </c>
      <c r="I561" t="str">
        <f t="shared" si="16"/>
        <v>OK</v>
      </c>
      <c r="J561" t="str">
        <f t="shared" si="17"/>
        <v>Lipsă</v>
      </c>
      <c r="K561" t="str">
        <f>IF(ISNA(VLOOKUP(B561,Conturi!A:A,1,FALSE)),"Lipsă","OK")</f>
        <v>OK</v>
      </c>
      <c r="L561" t="str">
        <f>IF(ISBLANK(C561),"Retragere sau depunere",IF(ISNA(VLOOKUP(C561,Conturi!A:A,1,FALSE)),"Lipsă","OK"))</f>
        <v>Retragere sau depunere</v>
      </c>
    </row>
    <row r="562" spans="1:12">
      <c r="A562">
        <v>576</v>
      </c>
      <c r="B562">
        <v>1187</v>
      </c>
      <c r="C562">
        <v>1094</v>
      </c>
      <c r="D562">
        <v>713.54</v>
      </c>
      <c r="E562" s="2">
        <v>44628</v>
      </c>
      <c r="F562" t="s">
        <v>357</v>
      </c>
      <c r="I562" t="str">
        <f t="shared" si="16"/>
        <v>OK</v>
      </c>
      <c r="J562" t="str">
        <f t="shared" si="17"/>
        <v>OK</v>
      </c>
      <c r="K562" t="str">
        <f>IF(ISNA(VLOOKUP(B562,Conturi!A:A,1,FALSE)),"Lipsă","OK")</f>
        <v>OK</v>
      </c>
      <c r="L562" t="str">
        <f>IF(ISBLANK(C562),"Retragere sau depunere",IF(ISNA(VLOOKUP(C562,Conturi!A:A,1,FALSE)),"Lipsă","OK"))</f>
        <v>OK</v>
      </c>
    </row>
    <row r="563" spans="1:12">
      <c r="A563">
        <v>577</v>
      </c>
      <c r="B563">
        <v>1187</v>
      </c>
      <c r="D563">
        <v>980.33</v>
      </c>
      <c r="E563" s="2">
        <v>44813</v>
      </c>
      <c r="F563" t="s">
        <v>356</v>
      </c>
      <c r="I563" t="str">
        <f t="shared" si="16"/>
        <v>OK</v>
      </c>
      <c r="J563" t="str">
        <f t="shared" si="17"/>
        <v>Lipsă</v>
      </c>
      <c r="K563" t="str">
        <f>IF(ISNA(VLOOKUP(B563,Conturi!A:A,1,FALSE)),"Lipsă","OK")</f>
        <v>OK</v>
      </c>
      <c r="L563" t="str">
        <f>IF(ISBLANK(C563),"Retragere sau depunere",IF(ISNA(VLOOKUP(C563,Conturi!A:A,1,FALSE)),"Lipsă","OK"))</f>
        <v>Retragere sau depunere</v>
      </c>
    </row>
    <row r="564" spans="1:12">
      <c r="A564">
        <v>578</v>
      </c>
      <c r="B564">
        <v>1187</v>
      </c>
      <c r="D564">
        <v>1143.8699999999999</v>
      </c>
      <c r="E564" s="2">
        <v>44862</v>
      </c>
      <c r="F564" t="s">
        <v>358</v>
      </c>
      <c r="I564" t="str">
        <f t="shared" si="16"/>
        <v>OK</v>
      </c>
      <c r="J564" t="str">
        <f t="shared" si="17"/>
        <v>Lipsă</v>
      </c>
      <c r="K564" t="str">
        <f>IF(ISNA(VLOOKUP(B564,Conturi!A:A,1,FALSE)),"Lipsă","OK")</f>
        <v>OK</v>
      </c>
      <c r="L564" t="str">
        <f>IF(ISBLANK(C564),"Retragere sau depunere",IF(ISNA(VLOOKUP(C564,Conturi!A:A,1,FALSE)),"Lipsă","OK"))</f>
        <v>Retragere sau depunere</v>
      </c>
    </row>
    <row r="565" spans="1:12">
      <c r="A565">
        <v>579</v>
      </c>
      <c r="B565">
        <v>1188</v>
      </c>
      <c r="D565">
        <v>2002.42</v>
      </c>
      <c r="E565" s="2">
        <v>44782</v>
      </c>
      <c r="F565" t="s">
        <v>358</v>
      </c>
      <c r="I565" t="str">
        <f t="shared" si="16"/>
        <v>OK</v>
      </c>
      <c r="J565" t="str">
        <f t="shared" si="17"/>
        <v>Lipsă</v>
      </c>
      <c r="K565" t="str">
        <f>IF(ISNA(VLOOKUP(B565,Conturi!A:A,1,FALSE)),"Lipsă","OK")</f>
        <v>OK</v>
      </c>
      <c r="L565" t="str">
        <f>IF(ISBLANK(C565),"Retragere sau depunere",IF(ISNA(VLOOKUP(C565,Conturi!A:A,1,FALSE)),"Lipsă","OK"))</f>
        <v>Retragere sau depunere</v>
      </c>
    </row>
    <row r="566" spans="1:12">
      <c r="A566">
        <v>580</v>
      </c>
      <c r="B566">
        <v>1188</v>
      </c>
      <c r="D566">
        <v>3165.77</v>
      </c>
      <c r="E566" s="2">
        <v>44800</v>
      </c>
      <c r="F566" t="s">
        <v>356</v>
      </c>
      <c r="I566" t="str">
        <f t="shared" si="16"/>
        <v>OK</v>
      </c>
      <c r="J566" t="str">
        <f t="shared" si="17"/>
        <v>Lipsă</v>
      </c>
      <c r="K566" t="str">
        <f>IF(ISNA(VLOOKUP(B566,Conturi!A:A,1,FALSE)),"Lipsă","OK")</f>
        <v>OK</v>
      </c>
      <c r="L566" t="str">
        <f>IF(ISBLANK(C566),"Retragere sau depunere",IF(ISNA(VLOOKUP(C566,Conturi!A:A,1,FALSE)),"Lipsă","OK"))</f>
        <v>Retragere sau depunere</v>
      </c>
    </row>
    <row r="567" spans="1:12">
      <c r="A567">
        <v>581</v>
      </c>
      <c r="B567">
        <v>1188</v>
      </c>
      <c r="C567">
        <v>1040</v>
      </c>
      <c r="D567">
        <v>2061.7399999999998</v>
      </c>
      <c r="E567" s="2">
        <v>44677</v>
      </c>
      <c r="F567" t="s">
        <v>357</v>
      </c>
      <c r="I567" t="str">
        <f t="shared" si="16"/>
        <v>OK</v>
      </c>
      <c r="J567" t="str">
        <f t="shared" si="17"/>
        <v>OK</v>
      </c>
      <c r="K567" t="str">
        <f>IF(ISNA(VLOOKUP(B567,Conturi!A:A,1,FALSE)),"Lipsă","OK")</f>
        <v>OK</v>
      </c>
      <c r="L567" t="str">
        <f>IF(ISBLANK(C567),"Retragere sau depunere",IF(ISNA(VLOOKUP(C567,Conturi!A:A,1,FALSE)),"Lipsă","OK"))</f>
        <v>OK</v>
      </c>
    </row>
    <row r="568" spans="1:12">
      <c r="A568">
        <v>582</v>
      </c>
      <c r="B568">
        <v>1189</v>
      </c>
      <c r="D568">
        <v>2978.36</v>
      </c>
      <c r="E568" s="2">
        <v>44633</v>
      </c>
      <c r="F568" t="s">
        <v>356</v>
      </c>
      <c r="I568" t="str">
        <f t="shared" si="16"/>
        <v>OK</v>
      </c>
      <c r="J568" t="str">
        <f t="shared" si="17"/>
        <v>Lipsă</v>
      </c>
      <c r="K568" t="str">
        <f>IF(ISNA(VLOOKUP(B568,Conturi!A:A,1,FALSE)),"Lipsă","OK")</f>
        <v>OK</v>
      </c>
      <c r="L568" t="str">
        <f>IF(ISBLANK(C568),"Retragere sau depunere",IF(ISNA(VLOOKUP(C568,Conturi!A:A,1,FALSE)),"Lipsă","OK"))</f>
        <v>Retragere sau depunere</v>
      </c>
    </row>
    <row r="569" spans="1:12">
      <c r="A569">
        <v>583</v>
      </c>
      <c r="B569">
        <v>1189</v>
      </c>
      <c r="C569">
        <v>1121</v>
      </c>
      <c r="D569">
        <v>2084.46</v>
      </c>
      <c r="E569" s="2">
        <v>44923</v>
      </c>
      <c r="F569" t="s">
        <v>357</v>
      </c>
      <c r="I569" t="str">
        <f t="shared" si="16"/>
        <v>OK</v>
      </c>
      <c r="J569" t="str">
        <f t="shared" si="17"/>
        <v>OK</v>
      </c>
      <c r="K569" t="str">
        <f>IF(ISNA(VLOOKUP(B569,Conturi!A:A,1,FALSE)),"Lipsă","OK")</f>
        <v>OK</v>
      </c>
      <c r="L569" t="str">
        <f>IF(ISBLANK(C569),"Retragere sau depunere",IF(ISNA(VLOOKUP(C569,Conturi!A:A,1,FALSE)),"Lipsă","OK"))</f>
        <v>OK</v>
      </c>
    </row>
    <row r="570" spans="1:12">
      <c r="A570">
        <v>584</v>
      </c>
      <c r="B570">
        <v>1189</v>
      </c>
      <c r="D570">
        <v>1210.06</v>
      </c>
      <c r="E570" s="2">
        <v>44812</v>
      </c>
      <c r="F570" t="s">
        <v>358</v>
      </c>
      <c r="I570" t="str">
        <f t="shared" si="16"/>
        <v>OK</v>
      </c>
      <c r="J570" t="str">
        <f t="shared" si="17"/>
        <v>Lipsă</v>
      </c>
      <c r="K570" t="str">
        <f>IF(ISNA(VLOOKUP(B570,Conturi!A:A,1,FALSE)),"Lipsă","OK")</f>
        <v>OK</v>
      </c>
      <c r="L570" t="str">
        <f>IF(ISBLANK(C570),"Retragere sau depunere",IF(ISNA(VLOOKUP(C570,Conturi!A:A,1,FALSE)),"Lipsă","OK"))</f>
        <v>Retragere sau depunere</v>
      </c>
    </row>
    <row r="571" spans="1:12">
      <c r="A571">
        <v>585</v>
      </c>
      <c r="B571">
        <v>1190</v>
      </c>
      <c r="D571">
        <v>1627.35</v>
      </c>
      <c r="E571" s="2">
        <v>44723</v>
      </c>
      <c r="F571" t="s">
        <v>358</v>
      </c>
      <c r="I571" t="str">
        <f t="shared" si="16"/>
        <v>OK</v>
      </c>
      <c r="J571" t="str">
        <f t="shared" si="17"/>
        <v>Lipsă</v>
      </c>
      <c r="K571" t="str">
        <f>IF(ISNA(VLOOKUP(B571,Conturi!A:A,1,FALSE)),"Lipsă","OK")</f>
        <v>OK</v>
      </c>
      <c r="L571" t="str">
        <f>IF(ISBLANK(C571),"Retragere sau depunere",IF(ISNA(VLOOKUP(C571,Conturi!A:A,1,FALSE)),"Lipsă","OK"))</f>
        <v>Retragere sau depunere</v>
      </c>
    </row>
    <row r="572" spans="1:12">
      <c r="A572">
        <v>586</v>
      </c>
      <c r="B572">
        <v>1191</v>
      </c>
      <c r="D572">
        <v>2753.1</v>
      </c>
      <c r="E572" s="2">
        <v>44742</v>
      </c>
      <c r="F572" t="s">
        <v>358</v>
      </c>
      <c r="I572" t="str">
        <f t="shared" si="16"/>
        <v>OK</v>
      </c>
      <c r="J572" t="str">
        <f t="shared" si="17"/>
        <v>Lipsă</v>
      </c>
      <c r="K572" t="str">
        <f>IF(ISNA(VLOOKUP(B572,Conturi!A:A,1,FALSE)),"Lipsă","OK")</f>
        <v>OK</v>
      </c>
      <c r="L572" t="str">
        <f>IF(ISBLANK(C572),"Retragere sau depunere",IF(ISNA(VLOOKUP(C572,Conturi!A:A,1,FALSE)),"Lipsă","OK"))</f>
        <v>Retragere sau depunere</v>
      </c>
    </row>
    <row r="573" spans="1:12">
      <c r="A573">
        <v>587</v>
      </c>
      <c r="B573">
        <v>1191</v>
      </c>
      <c r="C573">
        <v>1045</v>
      </c>
      <c r="D573">
        <v>3640.59</v>
      </c>
      <c r="E573" s="2">
        <v>44580</v>
      </c>
      <c r="F573" t="s">
        <v>357</v>
      </c>
      <c r="I573" t="str">
        <f t="shared" si="16"/>
        <v>OK</v>
      </c>
      <c r="J573" t="str">
        <f t="shared" si="17"/>
        <v>OK</v>
      </c>
      <c r="K573" t="str">
        <f>IF(ISNA(VLOOKUP(B573,Conturi!A:A,1,FALSE)),"Lipsă","OK")</f>
        <v>OK</v>
      </c>
      <c r="L573" t="str">
        <f>IF(ISBLANK(C573),"Retragere sau depunere",IF(ISNA(VLOOKUP(C573,Conturi!A:A,1,FALSE)),"Lipsă","OK"))</f>
        <v>OK</v>
      </c>
    </row>
    <row r="574" spans="1:12">
      <c r="A574">
        <v>588</v>
      </c>
      <c r="B574">
        <v>1191</v>
      </c>
      <c r="D574">
        <v>247.91</v>
      </c>
      <c r="E574" s="2">
        <v>44604</v>
      </c>
      <c r="F574" t="s">
        <v>358</v>
      </c>
      <c r="I574" t="str">
        <f t="shared" si="16"/>
        <v>OK</v>
      </c>
      <c r="J574" t="str">
        <f t="shared" si="17"/>
        <v>Lipsă</v>
      </c>
      <c r="K574" t="str">
        <f>IF(ISNA(VLOOKUP(B574,Conturi!A:A,1,FALSE)),"Lipsă","OK")</f>
        <v>OK</v>
      </c>
      <c r="L574" t="str">
        <f>IF(ISBLANK(C574),"Retragere sau depunere",IF(ISNA(VLOOKUP(C574,Conturi!A:A,1,FALSE)),"Lipsă","OK"))</f>
        <v>Retragere sau depunere</v>
      </c>
    </row>
    <row r="575" spans="1:12">
      <c r="A575">
        <v>589</v>
      </c>
      <c r="B575">
        <v>1191</v>
      </c>
      <c r="D575">
        <v>2047.41</v>
      </c>
      <c r="E575" s="2">
        <v>44626</v>
      </c>
      <c r="F575" t="s">
        <v>358</v>
      </c>
      <c r="I575" t="str">
        <f t="shared" si="16"/>
        <v>OK</v>
      </c>
      <c r="J575" t="str">
        <f t="shared" si="17"/>
        <v>Lipsă</v>
      </c>
      <c r="K575" t="str">
        <f>IF(ISNA(VLOOKUP(B575,Conturi!A:A,1,FALSE)),"Lipsă","OK")</f>
        <v>OK</v>
      </c>
      <c r="L575" t="str">
        <f>IF(ISBLANK(C575),"Retragere sau depunere",IF(ISNA(VLOOKUP(C575,Conturi!A:A,1,FALSE)),"Lipsă","OK"))</f>
        <v>Retragere sau depunere</v>
      </c>
    </row>
    <row r="576" spans="1:12">
      <c r="A576">
        <v>590</v>
      </c>
      <c r="B576">
        <v>1192</v>
      </c>
      <c r="C576">
        <v>1028</v>
      </c>
      <c r="D576">
        <v>1429.5</v>
      </c>
      <c r="E576" s="2">
        <v>44826</v>
      </c>
      <c r="F576" t="s">
        <v>357</v>
      </c>
      <c r="I576" t="str">
        <f t="shared" si="16"/>
        <v>OK</v>
      </c>
      <c r="J576" t="str">
        <f t="shared" si="17"/>
        <v>OK</v>
      </c>
      <c r="K576" t="str">
        <f>IF(ISNA(VLOOKUP(B576,Conturi!A:A,1,FALSE)),"Lipsă","OK")</f>
        <v>OK</v>
      </c>
      <c r="L576" t="str">
        <f>IF(ISBLANK(C576),"Retragere sau depunere",IF(ISNA(VLOOKUP(C576,Conturi!A:A,1,FALSE)),"Lipsă","OK"))</f>
        <v>OK</v>
      </c>
    </row>
    <row r="577" spans="1:12">
      <c r="A577">
        <v>591</v>
      </c>
      <c r="B577">
        <v>1193</v>
      </c>
      <c r="D577">
        <v>3518.35</v>
      </c>
      <c r="E577" s="2">
        <v>44604</v>
      </c>
      <c r="F577" t="s">
        <v>356</v>
      </c>
      <c r="I577" t="str">
        <f t="shared" si="16"/>
        <v>OK</v>
      </c>
      <c r="J577" t="str">
        <f t="shared" si="17"/>
        <v>Lipsă</v>
      </c>
      <c r="K577" t="str">
        <f>IF(ISNA(VLOOKUP(B577,Conturi!A:A,1,FALSE)),"Lipsă","OK")</f>
        <v>OK</v>
      </c>
      <c r="L577" t="str">
        <f>IF(ISBLANK(C577),"Retragere sau depunere",IF(ISNA(VLOOKUP(C577,Conturi!A:A,1,FALSE)),"Lipsă","OK"))</f>
        <v>Retragere sau depunere</v>
      </c>
    </row>
    <row r="578" spans="1:12">
      <c r="A578">
        <v>592</v>
      </c>
      <c r="B578">
        <v>1193</v>
      </c>
      <c r="D578">
        <v>4723.7700000000004</v>
      </c>
      <c r="E578" s="2">
        <v>44635</v>
      </c>
      <c r="F578" t="s">
        <v>356</v>
      </c>
      <c r="I578" t="str">
        <f t="shared" si="16"/>
        <v>OK</v>
      </c>
      <c r="J578" t="str">
        <f t="shared" si="17"/>
        <v>Lipsă</v>
      </c>
      <c r="K578" t="str">
        <f>IF(ISNA(VLOOKUP(B578,Conturi!A:A,1,FALSE)),"Lipsă","OK")</f>
        <v>OK</v>
      </c>
      <c r="L578" t="str">
        <f>IF(ISBLANK(C578),"Retragere sau depunere",IF(ISNA(VLOOKUP(C578,Conturi!A:A,1,FALSE)),"Lipsă","OK"))</f>
        <v>Retragere sau depunere</v>
      </c>
    </row>
    <row r="579" spans="1:12">
      <c r="A579">
        <v>593</v>
      </c>
      <c r="B579">
        <v>1193</v>
      </c>
      <c r="C579">
        <v>1085</v>
      </c>
      <c r="D579">
        <v>4955.58</v>
      </c>
      <c r="E579" s="2">
        <v>44646</v>
      </c>
      <c r="F579" t="s">
        <v>357</v>
      </c>
      <c r="I579" t="str">
        <f t="shared" ref="I579:I593" si="18">IF(D579&lt;0,"Greșit","OK")</f>
        <v>OK</v>
      </c>
      <c r="J579" t="str">
        <f t="shared" ref="J579:J593" si="19">IF(ISBLANK(C579),"Lipsă","OK")</f>
        <v>OK</v>
      </c>
      <c r="K579" t="str">
        <f>IF(ISNA(VLOOKUP(B579,Conturi!A:A,1,FALSE)),"Lipsă","OK")</f>
        <v>OK</v>
      </c>
      <c r="L579" t="str">
        <f>IF(ISBLANK(C579),"Retragere sau depunere",IF(ISNA(VLOOKUP(C579,Conturi!A:A,1,FALSE)),"Lipsă","OK"))</f>
        <v>OK</v>
      </c>
    </row>
    <row r="580" spans="1:12">
      <c r="A580">
        <v>594</v>
      </c>
      <c r="B580">
        <v>1194</v>
      </c>
      <c r="D580">
        <v>399.21</v>
      </c>
      <c r="E580" s="2">
        <v>44741</v>
      </c>
      <c r="F580" t="s">
        <v>358</v>
      </c>
      <c r="I580" t="str">
        <f t="shared" si="18"/>
        <v>OK</v>
      </c>
      <c r="J580" t="str">
        <f t="shared" si="19"/>
        <v>Lipsă</v>
      </c>
      <c r="K580" t="str">
        <f>IF(ISNA(VLOOKUP(B580,Conturi!A:A,1,FALSE)),"Lipsă","OK")</f>
        <v>OK</v>
      </c>
      <c r="L580" t="str">
        <f>IF(ISBLANK(C580),"Retragere sau depunere",IF(ISNA(VLOOKUP(C580,Conturi!A:A,1,FALSE)),"Lipsă","OK"))</f>
        <v>Retragere sau depunere</v>
      </c>
    </row>
    <row r="581" spans="1:12">
      <c r="A581">
        <v>595</v>
      </c>
      <c r="B581">
        <v>1194</v>
      </c>
      <c r="D581">
        <v>532.9</v>
      </c>
      <c r="E581" s="2">
        <v>44584</v>
      </c>
      <c r="F581" t="s">
        <v>358</v>
      </c>
      <c r="I581" t="str">
        <f t="shared" si="18"/>
        <v>OK</v>
      </c>
      <c r="J581" t="str">
        <f t="shared" si="19"/>
        <v>Lipsă</v>
      </c>
      <c r="K581" t="str">
        <f>IF(ISNA(VLOOKUP(B581,Conturi!A:A,1,FALSE)),"Lipsă","OK")</f>
        <v>OK</v>
      </c>
      <c r="L581" t="str">
        <f>IF(ISBLANK(C581),"Retragere sau depunere",IF(ISNA(VLOOKUP(C581,Conturi!A:A,1,FALSE)),"Lipsă","OK"))</f>
        <v>Retragere sau depunere</v>
      </c>
    </row>
    <row r="582" spans="1:12">
      <c r="A582">
        <v>596</v>
      </c>
      <c r="B582">
        <v>1194</v>
      </c>
      <c r="D582">
        <v>611.96</v>
      </c>
      <c r="E582" s="2">
        <v>44883</v>
      </c>
      <c r="F582" t="s">
        <v>356</v>
      </c>
      <c r="I582" t="str">
        <f t="shared" si="18"/>
        <v>OK</v>
      </c>
      <c r="J582" t="str">
        <f t="shared" si="19"/>
        <v>Lipsă</v>
      </c>
      <c r="K582" t="str">
        <f>IF(ISNA(VLOOKUP(B582,Conturi!A:A,1,FALSE)),"Lipsă","OK")</f>
        <v>OK</v>
      </c>
      <c r="L582" t="str">
        <f>IF(ISBLANK(C582),"Retragere sau depunere",IF(ISNA(VLOOKUP(C582,Conturi!A:A,1,FALSE)),"Lipsă","OK"))</f>
        <v>Retragere sau depunere</v>
      </c>
    </row>
    <row r="583" spans="1:12">
      <c r="A583">
        <v>597</v>
      </c>
      <c r="B583">
        <v>1194</v>
      </c>
      <c r="D583">
        <v>1384.32</v>
      </c>
      <c r="E583" s="2">
        <v>44695</v>
      </c>
      <c r="F583" t="s">
        <v>358</v>
      </c>
      <c r="I583" t="str">
        <f t="shared" si="18"/>
        <v>OK</v>
      </c>
      <c r="J583" t="str">
        <f t="shared" si="19"/>
        <v>Lipsă</v>
      </c>
      <c r="K583" t="str">
        <f>IF(ISNA(VLOOKUP(B583,Conturi!A:A,1,FALSE)),"Lipsă","OK")</f>
        <v>OK</v>
      </c>
      <c r="L583" t="str">
        <f>IF(ISBLANK(C583),"Retragere sau depunere",IF(ISNA(VLOOKUP(C583,Conturi!A:A,1,FALSE)),"Lipsă","OK"))</f>
        <v>Retragere sau depunere</v>
      </c>
    </row>
    <row r="584" spans="1:12">
      <c r="A584">
        <v>598</v>
      </c>
      <c r="B584">
        <v>1195</v>
      </c>
      <c r="C584">
        <v>1140</v>
      </c>
      <c r="D584">
        <v>1940.53</v>
      </c>
      <c r="E584" s="2">
        <v>44822</v>
      </c>
      <c r="F584" t="s">
        <v>357</v>
      </c>
      <c r="I584" t="str">
        <f t="shared" si="18"/>
        <v>OK</v>
      </c>
      <c r="J584" t="str">
        <f t="shared" si="19"/>
        <v>OK</v>
      </c>
      <c r="K584" t="str">
        <f>IF(ISNA(VLOOKUP(B584,Conturi!A:A,1,FALSE)),"Lipsă","OK")</f>
        <v>OK</v>
      </c>
      <c r="L584" t="str">
        <f>IF(ISBLANK(C584),"Retragere sau depunere",IF(ISNA(VLOOKUP(C584,Conturi!A:A,1,FALSE)),"Lipsă","OK"))</f>
        <v>OK</v>
      </c>
    </row>
    <row r="585" spans="1:12">
      <c r="A585">
        <v>599</v>
      </c>
      <c r="B585">
        <v>1195</v>
      </c>
      <c r="D585">
        <v>771.19</v>
      </c>
      <c r="E585" s="2">
        <v>44700</v>
      </c>
      <c r="F585" t="s">
        <v>356</v>
      </c>
      <c r="I585" t="str">
        <f t="shared" si="18"/>
        <v>OK</v>
      </c>
      <c r="J585" t="str">
        <f t="shared" si="19"/>
        <v>Lipsă</v>
      </c>
      <c r="K585" t="str">
        <f>IF(ISNA(VLOOKUP(B585,Conturi!A:A,1,FALSE)),"Lipsă","OK")</f>
        <v>OK</v>
      </c>
      <c r="L585" t="str">
        <f>IF(ISBLANK(C585),"Retragere sau depunere",IF(ISNA(VLOOKUP(C585,Conturi!A:A,1,FALSE)),"Lipsă","OK"))</f>
        <v>Retragere sau depunere</v>
      </c>
    </row>
    <row r="586" spans="1:12">
      <c r="A586">
        <v>600</v>
      </c>
      <c r="B586">
        <v>1196</v>
      </c>
      <c r="D586">
        <v>4785.83</v>
      </c>
      <c r="E586" s="2">
        <v>44893</v>
      </c>
      <c r="F586" t="s">
        <v>356</v>
      </c>
      <c r="I586" t="str">
        <f t="shared" si="18"/>
        <v>OK</v>
      </c>
      <c r="J586" t="str">
        <f t="shared" si="19"/>
        <v>Lipsă</v>
      </c>
      <c r="K586" t="str">
        <f>IF(ISNA(VLOOKUP(B586,Conturi!A:A,1,FALSE)),"Lipsă","OK")</f>
        <v>OK</v>
      </c>
      <c r="L586" t="str">
        <f>IF(ISBLANK(C586),"Retragere sau depunere",IF(ISNA(VLOOKUP(C586,Conturi!A:A,1,FALSE)),"Lipsă","OK"))</f>
        <v>Retragere sau depunere</v>
      </c>
    </row>
    <row r="587" spans="1:12">
      <c r="A587">
        <v>601</v>
      </c>
      <c r="B587">
        <v>1196</v>
      </c>
      <c r="D587">
        <v>3593.42</v>
      </c>
      <c r="E587" s="2">
        <v>44766</v>
      </c>
      <c r="F587" t="s">
        <v>358</v>
      </c>
      <c r="I587" t="str">
        <f t="shared" si="18"/>
        <v>OK</v>
      </c>
      <c r="J587" t="str">
        <f t="shared" si="19"/>
        <v>Lipsă</v>
      </c>
      <c r="K587" t="str">
        <f>IF(ISNA(VLOOKUP(B587,Conturi!A:A,1,FALSE)),"Lipsă","OK")</f>
        <v>OK</v>
      </c>
      <c r="L587" t="str">
        <f>IF(ISBLANK(C587),"Retragere sau depunere",IF(ISNA(VLOOKUP(C587,Conturi!A:A,1,FALSE)),"Lipsă","OK"))</f>
        <v>Retragere sau depunere</v>
      </c>
    </row>
    <row r="588" spans="1:12">
      <c r="A588">
        <v>602</v>
      </c>
      <c r="B588">
        <v>1196</v>
      </c>
      <c r="D588">
        <v>3099.46</v>
      </c>
      <c r="E588" s="2">
        <v>44643</v>
      </c>
      <c r="F588" t="s">
        <v>356</v>
      </c>
      <c r="I588" t="str">
        <f t="shared" si="18"/>
        <v>OK</v>
      </c>
      <c r="J588" t="str">
        <f t="shared" si="19"/>
        <v>Lipsă</v>
      </c>
      <c r="K588" t="str">
        <f>IF(ISNA(VLOOKUP(B588,Conturi!A:A,1,FALSE)),"Lipsă","OK")</f>
        <v>OK</v>
      </c>
      <c r="L588" t="str">
        <f>IF(ISBLANK(C588),"Retragere sau depunere",IF(ISNA(VLOOKUP(C588,Conturi!A:A,1,FALSE)),"Lipsă","OK"))</f>
        <v>Retragere sau depunere</v>
      </c>
    </row>
    <row r="589" spans="1:12">
      <c r="A589">
        <v>603</v>
      </c>
      <c r="B589">
        <v>1197</v>
      </c>
      <c r="D589">
        <v>1757.68</v>
      </c>
      <c r="E589" s="2">
        <v>44762</v>
      </c>
      <c r="F589" t="s">
        <v>358</v>
      </c>
      <c r="I589" t="str">
        <f t="shared" si="18"/>
        <v>OK</v>
      </c>
      <c r="J589" t="str">
        <f t="shared" si="19"/>
        <v>Lipsă</v>
      </c>
      <c r="K589" t="str">
        <f>IF(ISNA(VLOOKUP(B589,Conturi!A:A,1,FALSE)),"Lipsă","OK")</f>
        <v>OK</v>
      </c>
      <c r="L589" t="str">
        <f>IF(ISBLANK(C589),"Retragere sau depunere",IF(ISNA(VLOOKUP(C589,Conturi!A:A,1,FALSE)),"Lipsă","OK"))</f>
        <v>Retragere sau depunere</v>
      </c>
    </row>
    <row r="590" spans="1:12">
      <c r="A590">
        <v>604</v>
      </c>
      <c r="B590">
        <v>1197</v>
      </c>
      <c r="C590">
        <v>1141</v>
      </c>
      <c r="D590">
        <v>3981.46</v>
      </c>
      <c r="E590" s="2">
        <v>44630</v>
      </c>
      <c r="F590" t="s">
        <v>357</v>
      </c>
      <c r="I590" t="str">
        <f t="shared" si="18"/>
        <v>OK</v>
      </c>
      <c r="J590" t="str">
        <f t="shared" si="19"/>
        <v>OK</v>
      </c>
      <c r="K590" t="str">
        <f>IF(ISNA(VLOOKUP(B590,Conturi!A:A,1,FALSE)),"Lipsă","OK")</f>
        <v>OK</v>
      </c>
      <c r="L590" t="str">
        <f>IF(ISBLANK(C590),"Retragere sau depunere",IF(ISNA(VLOOKUP(C590,Conturi!A:A,1,FALSE)),"Lipsă","OK"))</f>
        <v>OK</v>
      </c>
    </row>
    <row r="591" spans="1:12">
      <c r="A591">
        <v>605</v>
      </c>
      <c r="B591">
        <v>1197</v>
      </c>
      <c r="D591">
        <v>2994.35</v>
      </c>
      <c r="E591" s="2">
        <v>44752</v>
      </c>
      <c r="F591" t="s">
        <v>356</v>
      </c>
      <c r="I591" t="str">
        <f t="shared" si="18"/>
        <v>OK</v>
      </c>
      <c r="J591" t="str">
        <f t="shared" si="19"/>
        <v>Lipsă</v>
      </c>
      <c r="K591" t="str">
        <f>IF(ISNA(VLOOKUP(B591,Conturi!A:A,1,FALSE)),"Lipsă","OK")</f>
        <v>OK</v>
      </c>
      <c r="L591" t="str">
        <f>IF(ISBLANK(C591),"Retragere sau depunere",IF(ISNA(VLOOKUP(C591,Conturi!A:A,1,FALSE)),"Lipsă","OK"))</f>
        <v>Retragere sau depunere</v>
      </c>
    </row>
    <row r="592" spans="1:12">
      <c r="A592">
        <v>606</v>
      </c>
      <c r="B592">
        <v>1197</v>
      </c>
      <c r="C592">
        <v>1040</v>
      </c>
      <c r="D592">
        <v>2622.58</v>
      </c>
      <c r="E592" s="2">
        <v>44814</v>
      </c>
      <c r="F592" t="s">
        <v>357</v>
      </c>
      <c r="I592" t="str">
        <f t="shared" si="18"/>
        <v>OK</v>
      </c>
      <c r="J592" t="str">
        <f t="shared" si="19"/>
        <v>OK</v>
      </c>
      <c r="K592" t="str">
        <f>IF(ISNA(VLOOKUP(B592,Conturi!A:A,1,FALSE)),"Lipsă","OK")</f>
        <v>OK</v>
      </c>
      <c r="L592" t="str">
        <f>IF(ISBLANK(C592),"Retragere sau depunere",IF(ISNA(VLOOKUP(C592,Conturi!A:A,1,FALSE)),"Lipsă","OK"))</f>
        <v>OK</v>
      </c>
    </row>
    <row r="593" spans="1:12">
      <c r="A593">
        <v>607</v>
      </c>
      <c r="B593">
        <v>1197</v>
      </c>
      <c r="C593">
        <v>1079</v>
      </c>
      <c r="D593">
        <v>4787.32</v>
      </c>
      <c r="E593" s="2">
        <v>44761</v>
      </c>
      <c r="F593" t="s">
        <v>357</v>
      </c>
      <c r="I593" t="str">
        <f t="shared" si="18"/>
        <v>OK</v>
      </c>
      <c r="J593" t="str">
        <f t="shared" si="19"/>
        <v>OK</v>
      </c>
      <c r="K593" t="str">
        <f>IF(ISNA(VLOOKUP(B593,Conturi!A:A,1,FALSE)),"Lipsă","OK")</f>
        <v>OK</v>
      </c>
      <c r="L593" t="str">
        <f>IF(ISBLANK(C593),"Retragere sau depunere",IF(ISNA(VLOOKUP(C593,Conturi!A:A,1,FALSE)),"Lipsă","OK"))</f>
        <v>OK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6"/>
  <sheetViews>
    <sheetView workbookViewId="0">
      <selection activeCell="L279" sqref="L279"/>
    </sheetView>
  </sheetViews>
  <sheetFormatPr defaultRowHeight="14.4"/>
  <cols>
    <col min="3" max="3" width="19.109375" customWidth="1"/>
    <col min="4" max="4" width="21" customWidth="1"/>
    <col min="7" max="7" width="8.88671875" customWidth="1"/>
    <col min="8" max="8" width="29.109375" customWidth="1"/>
    <col min="9" max="9" width="20.5546875" customWidth="1"/>
    <col min="10" max="10" width="14.77734375" customWidth="1"/>
  </cols>
  <sheetData>
    <row r="1" spans="1:10">
      <c r="A1" s="1" t="s">
        <v>359</v>
      </c>
      <c r="B1" s="1" t="s">
        <v>344</v>
      </c>
      <c r="C1" s="1" t="s">
        <v>360</v>
      </c>
      <c r="D1" s="1" t="s">
        <v>361</v>
      </c>
      <c r="E1" s="1" t="s">
        <v>362</v>
      </c>
      <c r="H1" s="4" t="s">
        <v>905</v>
      </c>
      <c r="I1" s="4" t="s">
        <v>913</v>
      </c>
      <c r="J1" s="4" t="s">
        <v>914</v>
      </c>
    </row>
    <row r="2" spans="1:10">
      <c r="A2">
        <v>2016</v>
      </c>
      <c r="B2">
        <v>1001</v>
      </c>
      <c r="C2" t="s">
        <v>363</v>
      </c>
      <c r="D2" s="2">
        <v>47485.788497263493</v>
      </c>
      <c r="E2" t="s">
        <v>648</v>
      </c>
      <c r="H2" t="str">
        <f>IF(ISBLANK(E2),"Lipsă","OK")</f>
        <v>OK</v>
      </c>
      <c r="I2" t="str">
        <f>IF(LEN(C2)=16,"OK","Invalid")</f>
        <v>OK</v>
      </c>
      <c r="J2" t="str">
        <f>IF(LEN(E2)=3,"OK","Invalid")</f>
        <v>OK</v>
      </c>
    </row>
    <row r="3" spans="1:10">
      <c r="A3">
        <v>2017</v>
      </c>
      <c r="B3">
        <v>1002</v>
      </c>
      <c r="C3" t="s">
        <v>364</v>
      </c>
      <c r="D3" s="2">
        <v>47120.78849726441</v>
      </c>
      <c r="E3" t="s">
        <v>649</v>
      </c>
      <c r="H3" t="str">
        <f t="shared" ref="H3:H66" si="0">IF(ISBLANK(E3),"Lipsă","OK")</f>
        <v>OK</v>
      </c>
      <c r="I3" t="str">
        <f t="shared" ref="I3:I66" si="1">IF(LEN(C3)=16,"OK","Invalid")</f>
        <v>OK</v>
      </c>
      <c r="J3" t="str">
        <f t="shared" ref="J3:J66" si="2">IF(LEN(E3)=3,"OK","Invalid")</f>
        <v>OK</v>
      </c>
    </row>
    <row r="4" spans="1:10">
      <c r="A4">
        <v>2018</v>
      </c>
      <c r="B4">
        <v>1002</v>
      </c>
      <c r="C4" t="s">
        <v>365</v>
      </c>
      <c r="D4" s="2">
        <v>47485.788497265166</v>
      </c>
      <c r="E4" t="s">
        <v>650</v>
      </c>
      <c r="H4" t="str">
        <f t="shared" si="0"/>
        <v>OK</v>
      </c>
      <c r="I4" t="str">
        <f t="shared" si="1"/>
        <v>OK</v>
      </c>
      <c r="J4" t="str">
        <f t="shared" si="2"/>
        <v>OK</v>
      </c>
    </row>
    <row r="5" spans="1:10">
      <c r="A5">
        <v>2019</v>
      </c>
      <c r="B5">
        <v>1003</v>
      </c>
      <c r="C5" t="s">
        <v>366</v>
      </c>
      <c r="D5" s="2">
        <v>47485.788497265959</v>
      </c>
      <c r="E5" t="s">
        <v>651</v>
      </c>
      <c r="H5" t="str">
        <f t="shared" si="0"/>
        <v>OK</v>
      </c>
      <c r="I5" t="str">
        <f t="shared" si="1"/>
        <v>OK</v>
      </c>
      <c r="J5" t="str">
        <f t="shared" si="2"/>
        <v>OK</v>
      </c>
    </row>
    <row r="6" spans="1:10">
      <c r="A6">
        <v>2020</v>
      </c>
      <c r="B6">
        <v>1004</v>
      </c>
      <c r="C6" t="s">
        <v>367</v>
      </c>
      <c r="D6" s="2">
        <v>47120.788497266803</v>
      </c>
      <c r="E6" t="s">
        <v>652</v>
      </c>
      <c r="H6" t="str">
        <f t="shared" si="0"/>
        <v>OK</v>
      </c>
      <c r="I6" t="str">
        <f t="shared" si="1"/>
        <v>OK</v>
      </c>
      <c r="J6" t="str">
        <f t="shared" si="2"/>
        <v>OK</v>
      </c>
    </row>
    <row r="7" spans="1:10">
      <c r="A7">
        <v>2021</v>
      </c>
      <c r="B7">
        <v>1005</v>
      </c>
      <c r="C7" t="s">
        <v>368</v>
      </c>
      <c r="D7" s="2">
        <v>47850.788497267618</v>
      </c>
      <c r="E7" t="s">
        <v>653</v>
      </c>
      <c r="H7" t="str">
        <f t="shared" si="0"/>
        <v>OK</v>
      </c>
      <c r="I7" t="str">
        <f t="shared" si="1"/>
        <v>OK</v>
      </c>
      <c r="J7" t="str">
        <f t="shared" si="2"/>
        <v>OK</v>
      </c>
    </row>
    <row r="8" spans="1:10">
      <c r="A8">
        <v>2022</v>
      </c>
      <c r="B8">
        <v>1006</v>
      </c>
      <c r="C8" t="s">
        <v>369</v>
      </c>
      <c r="D8" s="2">
        <v>46390.788497268411</v>
      </c>
      <c r="E8" t="s">
        <v>654</v>
      </c>
      <c r="H8" t="str">
        <f t="shared" si="0"/>
        <v>OK</v>
      </c>
      <c r="I8" t="str">
        <f t="shared" si="1"/>
        <v>OK</v>
      </c>
      <c r="J8" t="str">
        <f t="shared" si="2"/>
        <v>OK</v>
      </c>
    </row>
    <row r="9" spans="1:10">
      <c r="A9">
        <v>2023</v>
      </c>
      <c r="B9">
        <v>1006</v>
      </c>
      <c r="C9" t="s">
        <v>370</v>
      </c>
      <c r="D9" s="2">
        <v>46390.788497269197</v>
      </c>
      <c r="E9" t="s">
        <v>655</v>
      </c>
      <c r="H9" t="str">
        <f t="shared" si="0"/>
        <v>OK</v>
      </c>
      <c r="I9" t="str">
        <f t="shared" si="1"/>
        <v>OK</v>
      </c>
      <c r="J9" t="str">
        <f t="shared" si="2"/>
        <v>OK</v>
      </c>
    </row>
    <row r="10" spans="1:10">
      <c r="A10">
        <v>2024</v>
      </c>
      <c r="B10">
        <v>1007</v>
      </c>
      <c r="C10" t="s">
        <v>371</v>
      </c>
      <c r="D10" s="2">
        <v>47485.788497270187</v>
      </c>
      <c r="E10" t="s">
        <v>656</v>
      </c>
      <c r="H10" t="str">
        <f t="shared" si="0"/>
        <v>OK</v>
      </c>
      <c r="I10" t="str">
        <f t="shared" si="1"/>
        <v>OK</v>
      </c>
      <c r="J10" t="str">
        <f t="shared" si="2"/>
        <v>OK</v>
      </c>
    </row>
    <row r="11" spans="1:10">
      <c r="A11">
        <v>2025</v>
      </c>
      <c r="B11">
        <v>1008</v>
      </c>
      <c r="C11" t="s">
        <v>372</v>
      </c>
      <c r="D11" s="2">
        <v>47850.788497270987</v>
      </c>
      <c r="E11" t="s">
        <v>657</v>
      </c>
      <c r="H11" t="str">
        <f t="shared" si="0"/>
        <v>OK</v>
      </c>
      <c r="I11" t="str">
        <f t="shared" si="1"/>
        <v>OK</v>
      </c>
      <c r="J11" t="str">
        <f t="shared" si="2"/>
        <v>OK</v>
      </c>
    </row>
    <row r="12" spans="1:10">
      <c r="A12">
        <v>2026</v>
      </c>
      <c r="B12">
        <v>1008</v>
      </c>
      <c r="C12" t="s">
        <v>373</v>
      </c>
      <c r="D12" s="2">
        <v>47485.788497271722</v>
      </c>
      <c r="E12" t="s">
        <v>658</v>
      </c>
      <c r="H12" t="str">
        <f t="shared" si="0"/>
        <v>OK</v>
      </c>
      <c r="I12" t="str">
        <f t="shared" si="1"/>
        <v>OK</v>
      </c>
      <c r="J12" t="str">
        <f t="shared" si="2"/>
        <v>OK</v>
      </c>
    </row>
    <row r="13" spans="1:10">
      <c r="A13">
        <v>2027</v>
      </c>
      <c r="B13">
        <v>1009</v>
      </c>
      <c r="C13" t="s">
        <v>374</v>
      </c>
      <c r="D13" s="2">
        <v>47850.788497272522</v>
      </c>
      <c r="E13" t="s">
        <v>659</v>
      </c>
      <c r="H13" t="str">
        <f t="shared" si="0"/>
        <v>OK</v>
      </c>
      <c r="I13" t="str">
        <f t="shared" si="1"/>
        <v>OK</v>
      </c>
      <c r="J13" t="str">
        <f t="shared" si="2"/>
        <v>OK</v>
      </c>
    </row>
    <row r="14" spans="1:10">
      <c r="A14">
        <v>2028</v>
      </c>
      <c r="B14">
        <v>1009</v>
      </c>
      <c r="C14" t="s">
        <v>375</v>
      </c>
      <c r="D14" s="2">
        <v>47485.788497273243</v>
      </c>
      <c r="E14" t="s">
        <v>660</v>
      </c>
      <c r="H14" t="str">
        <f t="shared" si="0"/>
        <v>OK</v>
      </c>
      <c r="I14" t="str">
        <f t="shared" si="1"/>
        <v>OK</v>
      </c>
      <c r="J14" t="str">
        <f t="shared" si="2"/>
        <v>OK</v>
      </c>
    </row>
    <row r="15" spans="1:10">
      <c r="A15">
        <v>2029</v>
      </c>
      <c r="B15">
        <v>1010</v>
      </c>
      <c r="C15" t="s">
        <v>376</v>
      </c>
      <c r="D15" s="2">
        <v>47120.788497274007</v>
      </c>
      <c r="E15" t="s">
        <v>661</v>
      </c>
      <c r="H15" t="str">
        <f t="shared" si="0"/>
        <v>OK</v>
      </c>
      <c r="I15" t="str">
        <f t="shared" si="1"/>
        <v>OK</v>
      </c>
      <c r="J15" t="str">
        <f t="shared" si="2"/>
        <v>OK</v>
      </c>
    </row>
    <row r="16" spans="1:10">
      <c r="A16">
        <v>2030</v>
      </c>
      <c r="B16">
        <v>1010</v>
      </c>
      <c r="C16" t="s">
        <v>377</v>
      </c>
      <c r="D16" s="2">
        <v>46755.788497274749</v>
      </c>
      <c r="E16" t="s">
        <v>662</v>
      </c>
      <c r="H16" t="str">
        <f t="shared" si="0"/>
        <v>OK</v>
      </c>
      <c r="I16" t="str">
        <f t="shared" si="1"/>
        <v>OK</v>
      </c>
      <c r="J16" t="str">
        <f t="shared" si="2"/>
        <v>OK</v>
      </c>
    </row>
    <row r="17" spans="1:10">
      <c r="A17">
        <v>2031</v>
      </c>
      <c r="B17">
        <v>1011</v>
      </c>
      <c r="C17" t="s">
        <v>378</v>
      </c>
      <c r="D17" s="2">
        <v>46390.78849727552</v>
      </c>
      <c r="E17" t="s">
        <v>663</v>
      </c>
      <c r="H17" t="str">
        <f t="shared" si="0"/>
        <v>OK</v>
      </c>
      <c r="I17" t="str">
        <f t="shared" si="1"/>
        <v>OK</v>
      </c>
      <c r="J17" t="str">
        <f t="shared" si="2"/>
        <v>OK</v>
      </c>
    </row>
    <row r="18" spans="1:10">
      <c r="A18">
        <v>2032</v>
      </c>
      <c r="B18">
        <v>1012</v>
      </c>
      <c r="C18" t="s">
        <v>379</v>
      </c>
      <c r="D18" s="2">
        <v>47120.788497276277</v>
      </c>
      <c r="E18" t="s">
        <v>664</v>
      </c>
      <c r="H18" t="str">
        <f t="shared" si="0"/>
        <v>OK</v>
      </c>
      <c r="I18" t="str">
        <f t="shared" si="1"/>
        <v>OK</v>
      </c>
      <c r="J18" t="str">
        <f t="shared" si="2"/>
        <v>OK</v>
      </c>
    </row>
    <row r="19" spans="1:10">
      <c r="A19">
        <v>2033</v>
      </c>
      <c r="B19">
        <v>1012</v>
      </c>
      <c r="C19" t="s">
        <v>380</v>
      </c>
      <c r="D19" s="2">
        <v>46755.788497277012</v>
      </c>
      <c r="E19" t="s">
        <v>665</v>
      </c>
      <c r="H19" t="str">
        <f t="shared" si="0"/>
        <v>OK</v>
      </c>
      <c r="I19" t="str">
        <f t="shared" si="1"/>
        <v>OK</v>
      </c>
      <c r="J19" t="str">
        <f t="shared" si="2"/>
        <v>OK</v>
      </c>
    </row>
    <row r="20" spans="1:10">
      <c r="A20">
        <v>2034</v>
      </c>
      <c r="B20">
        <v>1013</v>
      </c>
      <c r="C20" t="s">
        <v>381</v>
      </c>
      <c r="D20" s="2">
        <v>47850.788497277783</v>
      </c>
      <c r="E20" t="s">
        <v>666</v>
      </c>
      <c r="H20" t="str">
        <f t="shared" si="0"/>
        <v>OK</v>
      </c>
      <c r="I20" t="str">
        <f t="shared" si="1"/>
        <v>OK</v>
      </c>
      <c r="J20" t="str">
        <f t="shared" si="2"/>
        <v>OK</v>
      </c>
    </row>
    <row r="21" spans="1:10">
      <c r="A21">
        <v>2035</v>
      </c>
      <c r="B21">
        <v>1014</v>
      </c>
      <c r="C21" t="s">
        <v>382</v>
      </c>
      <c r="D21" s="2">
        <v>47485.788497278547</v>
      </c>
      <c r="E21" t="s">
        <v>667</v>
      </c>
      <c r="H21" t="str">
        <f t="shared" si="0"/>
        <v>OK</v>
      </c>
      <c r="I21" t="str">
        <f t="shared" si="1"/>
        <v>OK</v>
      </c>
      <c r="J21" t="str">
        <f t="shared" si="2"/>
        <v>OK</v>
      </c>
    </row>
    <row r="22" spans="1:10">
      <c r="A22">
        <v>2036</v>
      </c>
      <c r="B22">
        <v>1015</v>
      </c>
      <c r="C22" t="s">
        <v>383</v>
      </c>
      <c r="D22" s="2">
        <v>47850.788497279318</v>
      </c>
      <c r="E22" t="s">
        <v>668</v>
      </c>
      <c r="H22" t="str">
        <f t="shared" si="0"/>
        <v>OK</v>
      </c>
      <c r="I22" t="str">
        <f t="shared" si="1"/>
        <v>OK</v>
      </c>
      <c r="J22" t="str">
        <f t="shared" si="2"/>
        <v>OK</v>
      </c>
    </row>
    <row r="23" spans="1:10">
      <c r="A23">
        <v>2037</v>
      </c>
      <c r="B23">
        <v>1016</v>
      </c>
      <c r="C23" t="s">
        <v>384</v>
      </c>
      <c r="D23" s="2">
        <v>46755.788497280082</v>
      </c>
      <c r="E23" t="s">
        <v>669</v>
      </c>
      <c r="H23" t="str">
        <f t="shared" si="0"/>
        <v>OK</v>
      </c>
      <c r="I23" t="str">
        <f t="shared" si="1"/>
        <v>OK</v>
      </c>
      <c r="J23" t="str">
        <f t="shared" si="2"/>
        <v>OK</v>
      </c>
    </row>
    <row r="24" spans="1:10">
      <c r="A24">
        <v>2038</v>
      </c>
      <c r="B24">
        <v>1017</v>
      </c>
      <c r="C24" t="s">
        <v>385</v>
      </c>
      <c r="D24" s="2">
        <v>47850.788497280853</v>
      </c>
      <c r="E24" t="s">
        <v>670</v>
      </c>
      <c r="H24" t="str">
        <f t="shared" si="0"/>
        <v>OK</v>
      </c>
      <c r="I24" t="str">
        <f t="shared" si="1"/>
        <v>OK</v>
      </c>
      <c r="J24" t="str">
        <f t="shared" si="2"/>
        <v>OK</v>
      </c>
    </row>
    <row r="25" spans="1:10">
      <c r="A25">
        <v>2039</v>
      </c>
      <c r="B25">
        <v>1018</v>
      </c>
      <c r="C25" t="s">
        <v>386</v>
      </c>
      <c r="D25" s="2">
        <v>46755.788497281617</v>
      </c>
      <c r="E25" t="s">
        <v>671</v>
      </c>
      <c r="H25" t="str">
        <f t="shared" si="0"/>
        <v>OK</v>
      </c>
      <c r="I25" t="str">
        <f t="shared" si="1"/>
        <v>OK</v>
      </c>
      <c r="J25" t="str">
        <f t="shared" si="2"/>
        <v>OK</v>
      </c>
    </row>
    <row r="26" spans="1:10">
      <c r="A26">
        <v>2040</v>
      </c>
      <c r="B26">
        <v>1019</v>
      </c>
      <c r="C26" t="s">
        <v>387</v>
      </c>
      <c r="D26" s="2">
        <v>46755.788497282381</v>
      </c>
      <c r="E26" t="s">
        <v>672</v>
      </c>
      <c r="H26" t="str">
        <f t="shared" si="0"/>
        <v>OK</v>
      </c>
      <c r="I26" t="str">
        <f t="shared" si="1"/>
        <v>OK</v>
      </c>
      <c r="J26" t="str">
        <f t="shared" si="2"/>
        <v>OK</v>
      </c>
    </row>
    <row r="27" spans="1:10">
      <c r="A27">
        <v>2041</v>
      </c>
      <c r="B27">
        <v>1020</v>
      </c>
      <c r="C27" t="s">
        <v>388</v>
      </c>
      <c r="D27" s="2">
        <v>46390.788497283153</v>
      </c>
      <c r="E27" t="s">
        <v>673</v>
      </c>
      <c r="H27" t="str">
        <f t="shared" si="0"/>
        <v>OK</v>
      </c>
      <c r="I27" t="str">
        <f t="shared" si="1"/>
        <v>OK</v>
      </c>
      <c r="J27" t="str">
        <f t="shared" si="2"/>
        <v>OK</v>
      </c>
    </row>
    <row r="28" spans="1:10">
      <c r="A28">
        <v>2042</v>
      </c>
      <c r="B28">
        <v>1021</v>
      </c>
      <c r="C28" t="s">
        <v>389</v>
      </c>
      <c r="D28" s="2">
        <v>46755.78849728412</v>
      </c>
      <c r="E28" t="s">
        <v>674</v>
      </c>
      <c r="H28" t="str">
        <f t="shared" si="0"/>
        <v>OK</v>
      </c>
      <c r="I28" t="str">
        <f t="shared" si="1"/>
        <v>OK</v>
      </c>
      <c r="J28" t="str">
        <f t="shared" si="2"/>
        <v>OK</v>
      </c>
    </row>
    <row r="29" spans="1:10">
      <c r="A29">
        <v>2043</v>
      </c>
      <c r="B29">
        <v>1021</v>
      </c>
      <c r="C29" t="s">
        <v>390</v>
      </c>
      <c r="D29" s="2">
        <v>47120.78849728487</v>
      </c>
      <c r="E29" t="s">
        <v>675</v>
      </c>
      <c r="H29" t="str">
        <f t="shared" si="0"/>
        <v>OK</v>
      </c>
      <c r="I29" t="str">
        <f t="shared" si="1"/>
        <v>OK</v>
      </c>
      <c r="J29" t="str">
        <f t="shared" si="2"/>
        <v>OK</v>
      </c>
    </row>
    <row r="30" spans="1:10">
      <c r="A30">
        <v>2044</v>
      </c>
      <c r="B30">
        <v>1022</v>
      </c>
      <c r="C30" t="s">
        <v>391</v>
      </c>
      <c r="D30" s="2">
        <v>46755.788497285648</v>
      </c>
      <c r="E30" t="s">
        <v>676</v>
      </c>
      <c r="H30" t="str">
        <f t="shared" si="0"/>
        <v>OK</v>
      </c>
      <c r="I30" t="str">
        <f t="shared" si="1"/>
        <v>OK</v>
      </c>
      <c r="J30" t="str">
        <f t="shared" si="2"/>
        <v>OK</v>
      </c>
    </row>
    <row r="31" spans="1:10">
      <c r="A31">
        <v>2045</v>
      </c>
      <c r="B31">
        <v>1023</v>
      </c>
      <c r="C31" t="s">
        <v>392</v>
      </c>
      <c r="D31" s="2">
        <v>46390.788497286412</v>
      </c>
      <c r="E31" t="s">
        <v>677</v>
      </c>
      <c r="H31" t="str">
        <f t="shared" si="0"/>
        <v>OK</v>
      </c>
      <c r="I31" t="str">
        <f t="shared" si="1"/>
        <v>OK</v>
      </c>
      <c r="J31" t="str">
        <f t="shared" si="2"/>
        <v>OK</v>
      </c>
    </row>
    <row r="32" spans="1:10">
      <c r="A32">
        <v>2046</v>
      </c>
      <c r="B32">
        <v>1024</v>
      </c>
      <c r="C32" t="s">
        <v>393</v>
      </c>
      <c r="D32" s="2">
        <v>46390.788497287191</v>
      </c>
      <c r="E32" t="s">
        <v>678</v>
      </c>
      <c r="H32" t="str">
        <f t="shared" si="0"/>
        <v>OK</v>
      </c>
      <c r="I32" t="str">
        <f t="shared" si="1"/>
        <v>OK</v>
      </c>
      <c r="J32" t="str">
        <f t="shared" si="2"/>
        <v>OK</v>
      </c>
    </row>
    <row r="33" spans="1:10">
      <c r="A33">
        <v>2047</v>
      </c>
      <c r="B33">
        <v>1024</v>
      </c>
      <c r="C33" t="s">
        <v>394</v>
      </c>
      <c r="D33" s="2">
        <v>47120.788497287918</v>
      </c>
      <c r="E33" t="s">
        <v>679</v>
      </c>
      <c r="H33" t="str">
        <f t="shared" si="0"/>
        <v>OK</v>
      </c>
      <c r="I33" t="str">
        <f t="shared" si="1"/>
        <v>OK</v>
      </c>
      <c r="J33" t="str">
        <f t="shared" si="2"/>
        <v>OK</v>
      </c>
    </row>
    <row r="34" spans="1:10">
      <c r="A34">
        <v>2048</v>
      </c>
      <c r="B34">
        <v>1025</v>
      </c>
      <c r="C34" t="s">
        <v>395</v>
      </c>
      <c r="D34" s="2">
        <v>47850.788497288682</v>
      </c>
      <c r="E34" t="s">
        <v>680</v>
      </c>
      <c r="H34" t="str">
        <f t="shared" si="0"/>
        <v>OK</v>
      </c>
      <c r="I34" t="str">
        <f t="shared" si="1"/>
        <v>OK</v>
      </c>
      <c r="J34" t="str">
        <f t="shared" si="2"/>
        <v>OK</v>
      </c>
    </row>
    <row r="35" spans="1:10">
      <c r="A35">
        <v>2049</v>
      </c>
      <c r="B35">
        <v>1026</v>
      </c>
      <c r="C35" t="s">
        <v>396</v>
      </c>
      <c r="D35" s="2">
        <v>46755.788497289483</v>
      </c>
      <c r="E35" t="s">
        <v>681</v>
      </c>
      <c r="H35" t="str">
        <f t="shared" si="0"/>
        <v>OK</v>
      </c>
      <c r="I35" t="str">
        <f t="shared" si="1"/>
        <v>OK</v>
      </c>
      <c r="J35" t="str">
        <f t="shared" si="2"/>
        <v>OK</v>
      </c>
    </row>
    <row r="36" spans="1:10">
      <c r="A36">
        <v>2050</v>
      </c>
      <c r="B36">
        <v>1027</v>
      </c>
      <c r="C36" t="s">
        <v>397</v>
      </c>
      <c r="D36" s="2">
        <v>46755.788497290247</v>
      </c>
      <c r="E36" t="s">
        <v>650</v>
      </c>
      <c r="H36" t="str">
        <f t="shared" si="0"/>
        <v>OK</v>
      </c>
      <c r="I36" t="str">
        <f t="shared" si="1"/>
        <v>OK</v>
      </c>
      <c r="J36" t="str">
        <f t="shared" si="2"/>
        <v>OK</v>
      </c>
    </row>
    <row r="37" spans="1:10">
      <c r="A37">
        <v>2051</v>
      </c>
      <c r="B37">
        <v>1027</v>
      </c>
      <c r="C37" t="s">
        <v>398</v>
      </c>
      <c r="D37" s="2">
        <v>47485.788497290981</v>
      </c>
      <c r="E37" t="s">
        <v>658</v>
      </c>
      <c r="H37" t="str">
        <f t="shared" si="0"/>
        <v>OK</v>
      </c>
      <c r="I37" t="str">
        <f t="shared" si="1"/>
        <v>OK</v>
      </c>
      <c r="J37" t="str">
        <f t="shared" si="2"/>
        <v>OK</v>
      </c>
    </row>
    <row r="38" spans="1:10">
      <c r="A38">
        <v>2052</v>
      </c>
      <c r="B38">
        <v>1028</v>
      </c>
      <c r="C38" t="s">
        <v>399</v>
      </c>
      <c r="D38" s="2">
        <v>46390.788497291753</v>
      </c>
      <c r="E38" t="s">
        <v>682</v>
      </c>
      <c r="H38" t="str">
        <f t="shared" si="0"/>
        <v>OK</v>
      </c>
      <c r="I38" t="str">
        <f t="shared" si="1"/>
        <v>OK</v>
      </c>
      <c r="J38" t="str">
        <f t="shared" si="2"/>
        <v>OK</v>
      </c>
    </row>
    <row r="39" spans="1:10">
      <c r="A39">
        <v>2053</v>
      </c>
      <c r="B39">
        <v>1028</v>
      </c>
      <c r="C39" t="s">
        <v>400</v>
      </c>
      <c r="D39" s="2">
        <v>46390.788497292648</v>
      </c>
      <c r="E39" t="s">
        <v>683</v>
      </c>
      <c r="H39" t="str">
        <f t="shared" si="0"/>
        <v>OK</v>
      </c>
      <c r="I39" t="str">
        <f t="shared" si="1"/>
        <v>OK</v>
      </c>
      <c r="J39" t="str">
        <f t="shared" si="2"/>
        <v>OK</v>
      </c>
    </row>
    <row r="40" spans="1:10">
      <c r="A40">
        <v>2054</v>
      </c>
      <c r="B40">
        <v>1029</v>
      </c>
      <c r="C40" t="s">
        <v>401</v>
      </c>
      <c r="D40" s="2">
        <v>47485.788497293433</v>
      </c>
      <c r="E40" t="s">
        <v>660</v>
      </c>
      <c r="H40" t="str">
        <f t="shared" si="0"/>
        <v>OK</v>
      </c>
      <c r="I40" t="str">
        <f t="shared" si="1"/>
        <v>OK</v>
      </c>
      <c r="J40" t="str">
        <f t="shared" si="2"/>
        <v>OK</v>
      </c>
    </row>
    <row r="41" spans="1:10">
      <c r="A41">
        <v>2055</v>
      </c>
      <c r="B41">
        <v>1029</v>
      </c>
      <c r="C41" t="s">
        <v>402</v>
      </c>
      <c r="D41" s="2">
        <v>47120.788497294168</v>
      </c>
      <c r="E41" t="s">
        <v>684</v>
      </c>
      <c r="H41" t="str">
        <f t="shared" si="0"/>
        <v>OK</v>
      </c>
      <c r="I41" t="str">
        <f t="shared" si="1"/>
        <v>OK</v>
      </c>
      <c r="J41" t="str">
        <f t="shared" si="2"/>
        <v>OK</v>
      </c>
    </row>
    <row r="42" spans="1:10">
      <c r="A42">
        <v>2056</v>
      </c>
      <c r="B42">
        <v>1030</v>
      </c>
      <c r="C42" t="s">
        <v>403</v>
      </c>
      <c r="D42" s="2">
        <v>47850.788497294932</v>
      </c>
      <c r="E42" t="s">
        <v>685</v>
      </c>
      <c r="H42" t="str">
        <f t="shared" si="0"/>
        <v>OK</v>
      </c>
      <c r="I42" t="str">
        <f t="shared" si="1"/>
        <v>OK</v>
      </c>
      <c r="J42" t="str">
        <f t="shared" si="2"/>
        <v>OK</v>
      </c>
    </row>
    <row r="43" spans="1:10">
      <c r="A43">
        <v>2057</v>
      </c>
      <c r="B43">
        <v>1031</v>
      </c>
      <c r="C43" t="s">
        <v>404</v>
      </c>
      <c r="D43" s="2">
        <v>47850.788497295987</v>
      </c>
      <c r="E43" t="s">
        <v>686</v>
      </c>
      <c r="H43" t="str">
        <f t="shared" si="0"/>
        <v>OK</v>
      </c>
      <c r="I43" t="str">
        <f t="shared" si="1"/>
        <v>OK</v>
      </c>
      <c r="J43" t="str">
        <f t="shared" si="2"/>
        <v>OK</v>
      </c>
    </row>
    <row r="44" spans="1:10">
      <c r="A44">
        <v>2058</v>
      </c>
      <c r="B44">
        <v>1032</v>
      </c>
      <c r="C44" t="s">
        <v>405</v>
      </c>
      <c r="D44" s="2">
        <v>46755.788497296788</v>
      </c>
      <c r="E44" t="s">
        <v>687</v>
      </c>
      <c r="H44" t="str">
        <f t="shared" si="0"/>
        <v>OK</v>
      </c>
      <c r="I44" t="str">
        <f t="shared" si="1"/>
        <v>OK</v>
      </c>
      <c r="J44" t="str">
        <f t="shared" si="2"/>
        <v>OK</v>
      </c>
    </row>
    <row r="45" spans="1:10">
      <c r="A45">
        <v>2059</v>
      </c>
      <c r="B45">
        <v>1033</v>
      </c>
      <c r="C45" t="s">
        <v>406</v>
      </c>
      <c r="D45" s="2">
        <v>46755.788497297581</v>
      </c>
      <c r="E45" t="s">
        <v>688</v>
      </c>
      <c r="H45" t="str">
        <f t="shared" si="0"/>
        <v>OK</v>
      </c>
      <c r="I45" t="str">
        <f t="shared" si="1"/>
        <v>OK</v>
      </c>
      <c r="J45" t="str">
        <f t="shared" si="2"/>
        <v>OK</v>
      </c>
    </row>
    <row r="46" spans="1:10">
      <c r="A46">
        <v>2060</v>
      </c>
      <c r="B46">
        <v>1034</v>
      </c>
      <c r="C46" t="s">
        <v>407</v>
      </c>
      <c r="D46" s="2">
        <v>47485.788497298337</v>
      </c>
      <c r="E46" t="s">
        <v>689</v>
      </c>
      <c r="H46" t="str">
        <f t="shared" si="0"/>
        <v>OK</v>
      </c>
      <c r="I46" t="str">
        <f t="shared" si="1"/>
        <v>OK</v>
      </c>
      <c r="J46" t="str">
        <f t="shared" si="2"/>
        <v>OK</v>
      </c>
    </row>
    <row r="47" spans="1:10">
      <c r="A47">
        <v>2061</v>
      </c>
      <c r="B47">
        <v>1035</v>
      </c>
      <c r="C47" t="s">
        <v>408</v>
      </c>
      <c r="D47" s="2">
        <v>47850.788497299109</v>
      </c>
      <c r="E47" t="s">
        <v>690</v>
      </c>
      <c r="H47" t="str">
        <f t="shared" si="0"/>
        <v>OK</v>
      </c>
      <c r="I47" t="str">
        <f t="shared" si="1"/>
        <v>OK</v>
      </c>
      <c r="J47" t="str">
        <f t="shared" si="2"/>
        <v>OK</v>
      </c>
    </row>
    <row r="48" spans="1:10">
      <c r="A48">
        <v>2062</v>
      </c>
      <c r="B48">
        <v>1035</v>
      </c>
      <c r="C48" t="s">
        <v>409</v>
      </c>
      <c r="D48" s="2">
        <v>46755.788497299844</v>
      </c>
      <c r="E48" t="s">
        <v>691</v>
      </c>
      <c r="H48" t="str">
        <f t="shared" si="0"/>
        <v>OK</v>
      </c>
      <c r="I48" t="str">
        <f t="shared" si="1"/>
        <v>OK</v>
      </c>
      <c r="J48" t="str">
        <f t="shared" si="2"/>
        <v>OK</v>
      </c>
    </row>
    <row r="49" spans="1:10">
      <c r="A49">
        <v>2063</v>
      </c>
      <c r="B49">
        <v>1036</v>
      </c>
      <c r="C49" t="s">
        <v>410</v>
      </c>
      <c r="D49" s="2">
        <v>47120.788497300608</v>
      </c>
      <c r="E49" t="s">
        <v>692</v>
      </c>
      <c r="H49" t="str">
        <f t="shared" si="0"/>
        <v>OK</v>
      </c>
      <c r="I49" t="str">
        <f t="shared" si="1"/>
        <v>OK</v>
      </c>
      <c r="J49" t="str">
        <f t="shared" si="2"/>
        <v>OK</v>
      </c>
    </row>
    <row r="50" spans="1:10">
      <c r="A50">
        <v>2064</v>
      </c>
      <c r="B50">
        <v>1036</v>
      </c>
      <c r="C50" t="s">
        <v>411</v>
      </c>
      <c r="D50" s="2">
        <v>47850.788497301357</v>
      </c>
      <c r="E50" t="s">
        <v>693</v>
      </c>
      <c r="H50" t="str">
        <f t="shared" si="0"/>
        <v>OK</v>
      </c>
      <c r="I50" t="str">
        <f t="shared" si="1"/>
        <v>OK</v>
      </c>
      <c r="J50" t="str">
        <f t="shared" si="2"/>
        <v>OK</v>
      </c>
    </row>
    <row r="51" spans="1:10">
      <c r="A51">
        <v>2065</v>
      </c>
      <c r="B51">
        <v>1037</v>
      </c>
      <c r="C51" t="s">
        <v>412</v>
      </c>
      <c r="D51" s="2">
        <v>47485.788497302121</v>
      </c>
      <c r="E51" t="s">
        <v>694</v>
      </c>
      <c r="H51" t="str">
        <f t="shared" si="0"/>
        <v>OK</v>
      </c>
      <c r="I51" t="str">
        <f t="shared" si="1"/>
        <v>OK</v>
      </c>
      <c r="J51" t="str">
        <f t="shared" si="2"/>
        <v>OK</v>
      </c>
    </row>
    <row r="52" spans="1:10">
      <c r="A52">
        <v>2066</v>
      </c>
      <c r="B52">
        <v>1037</v>
      </c>
      <c r="C52" t="s">
        <v>413</v>
      </c>
      <c r="D52" s="2">
        <v>47485.78849730287</v>
      </c>
      <c r="E52" t="s">
        <v>695</v>
      </c>
      <c r="H52" t="str">
        <f t="shared" si="0"/>
        <v>OK</v>
      </c>
      <c r="I52" t="str">
        <f t="shared" si="1"/>
        <v>OK</v>
      </c>
      <c r="J52" t="str">
        <f t="shared" si="2"/>
        <v>OK</v>
      </c>
    </row>
    <row r="53" spans="1:10">
      <c r="A53">
        <v>2067</v>
      </c>
      <c r="B53">
        <v>1038</v>
      </c>
      <c r="C53" t="s">
        <v>414</v>
      </c>
      <c r="D53" s="2">
        <v>46390.788497303969</v>
      </c>
      <c r="E53" t="s">
        <v>696</v>
      </c>
      <c r="H53" t="str">
        <f t="shared" si="0"/>
        <v>OK</v>
      </c>
      <c r="I53" t="str">
        <f t="shared" si="1"/>
        <v>OK</v>
      </c>
      <c r="J53" t="str">
        <f t="shared" si="2"/>
        <v>OK</v>
      </c>
    </row>
    <row r="54" spans="1:10">
      <c r="A54">
        <v>2068</v>
      </c>
      <c r="B54">
        <v>1038</v>
      </c>
      <c r="C54" t="s">
        <v>415</v>
      </c>
      <c r="D54" s="2">
        <v>47485.788497305221</v>
      </c>
      <c r="E54" t="s">
        <v>697</v>
      </c>
      <c r="H54" t="str">
        <f t="shared" si="0"/>
        <v>OK</v>
      </c>
      <c r="I54" t="str">
        <f t="shared" si="1"/>
        <v>OK</v>
      </c>
      <c r="J54" t="str">
        <f t="shared" si="2"/>
        <v>OK</v>
      </c>
    </row>
    <row r="55" spans="1:10">
      <c r="A55">
        <v>2069</v>
      </c>
      <c r="B55">
        <v>1039</v>
      </c>
      <c r="C55" t="s">
        <v>416</v>
      </c>
      <c r="D55" s="2">
        <v>46755.788497306137</v>
      </c>
      <c r="E55" t="s">
        <v>698</v>
      </c>
      <c r="H55" t="str">
        <f t="shared" si="0"/>
        <v>OK</v>
      </c>
      <c r="I55" t="str">
        <f t="shared" si="1"/>
        <v>OK</v>
      </c>
      <c r="J55" t="str">
        <f t="shared" si="2"/>
        <v>OK</v>
      </c>
    </row>
    <row r="56" spans="1:10">
      <c r="A56">
        <v>2070</v>
      </c>
      <c r="B56">
        <v>1039</v>
      </c>
      <c r="C56" t="s">
        <v>417</v>
      </c>
      <c r="D56" s="2">
        <v>47850.788497306887</v>
      </c>
      <c r="E56" t="s">
        <v>699</v>
      </c>
      <c r="H56" t="str">
        <f t="shared" si="0"/>
        <v>OK</v>
      </c>
      <c r="I56" t="str">
        <f t="shared" si="1"/>
        <v>OK</v>
      </c>
      <c r="J56" t="str">
        <f t="shared" si="2"/>
        <v>OK</v>
      </c>
    </row>
    <row r="57" spans="1:10">
      <c r="A57">
        <v>2071</v>
      </c>
      <c r="B57">
        <v>1040</v>
      </c>
      <c r="C57" t="s">
        <v>418</v>
      </c>
      <c r="D57" s="2">
        <v>46390.788497307651</v>
      </c>
      <c r="E57" t="s">
        <v>700</v>
      </c>
      <c r="H57" t="str">
        <f t="shared" si="0"/>
        <v>OK</v>
      </c>
      <c r="I57" t="str">
        <f t="shared" si="1"/>
        <v>OK</v>
      </c>
      <c r="J57" t="str">
        <f t="shared" si="2"/>
        <v>OK</v>
      </c>
    </row>
    <row r="58" spans="1:10">
      <c r="A58">
        <v>2072</v>
      </c>
      <c r="B58">
        <v>1040</v>
      </c>
      <c r="C58" t="s">
        <v>419</v>
      </c>
      <c r="D58" s="2">
        <v>47850.788497308378</v>
      </c>
      <c r="E58" t="s">
        <v>701</v>
      </c>
      <c r="H58" t="str">
        <f t="shared" si="0"/>
        <v>OK</v>
      </c>
      <c r="I58" t="str">
        <f t="shared" si="1"/>
        <v>OK</v>
      </c>
      <c r="J58" t="str">
        <f t="shared" si="2"/>
        <v>OK</v>
      </c>
    </row>
    <row r="59" spans="1:10">
      <c r="A59">
        <v>2073</v>
      </c>
      <c r="B59">
        <v>1041</v>
      </c>
      <c r="C59" t="s">
        <v>420</v>
      </c>
      <c r="D59" s="2">
        <v>46390.788497309142</v>
      </c>
      <c r="E59" t="s">
        <v>702</v>
      </c>
      <c r="H59" t="str">
        <f t="shared" si="0"/>
        <v>OK</v>
      </c>
      <c r="I59" t="str">
        <f t="shared" si="1"/>
        <v>OK</v>
      </c>
      <c r="J59" t="str">
        <f t="shared" si="2"/>
        <v>OK</v>
      </c>
    </row>
    <row r="60" spans="1:10">
      <c r="A60">
        <v>2074</v>
      </c>
      <c r="B60">
        <v>1042</v>
      </c>
      <c r="C60" t="s">
        <v>421</v>
      </c>
      <c r="D60" s="2">
        <v>46390.788497309914</v>
      </c>
      <c r="E60" t="s">
        <v>703</v>
      </c>
      <c r="H60" t="str">
        <f t="shared" si="0"/>
        <v>OK</v>
      </c>
      <c r="I60" t="str">
        <f t="shared" si="1"/>
        <v>OK</v>
      </c>
      <c r="J60" t="str">
        <f t="shared" si="2"/>
        <v>OK</v>
      </c>
    </row>
    <row r="61" spans="1:10">
      <c r="A61">
        <v>2075</v>
      </c>
      <c r="B61">
        <v>1043</v>
      </c>
      <c r="C61" t="s">
        <v>422</v>
      </c>
      <c r="D61" s="2">
        <v>47120.788497310692</v>
      </c>
      <c r="E61" t="s">
        <v>704</v>
      </c>
      <c r="H61" t="str">
        <f t="shared" si="0"/>
        <v>OK</v>
      </c>
      <c r="I61" t="str">
        <f t="shared" si="1"/>
        <v>OK</v>
      </c>
      <c r="J61" t="str">
        <f t="shared" si="2"/>
        <v>OK</v>
      </c>
    </row>
    <row r="62" spans="1:10">
      <c r="A62">
        <v>2076</v>
      </c>
      <c r="B62">
        <v>1043</v>
      </c>
      <c r="C62" t="s">
        <v>423</v>
      </c>
      <c r="D62" s="2">
        <v>47850.788497311412</v>
      </c>
      <c r="E62" t="s">
        <v>705</v>
      </c>
      <c r="H62" t="str">
        <f t="shared" si="0"/>
        <v>OK</v>
      </c>
      <c r="I62" t="str">
        <f t="shared" si="1"/>
        <v>OK</v>
      </c>
      <c r="J62" t="str">
        <f t="shared" si="2"/>
        <v>OK</v>
      </c>
    </row>
    <row r="63" spans="1:10">
      <c r="A63">
        <v>2077</v>
      </c>
      <c r="B63">
        <v>1044</v>
      </c>
      <c r="C63" t="s">
        <v>424</v>
      </c>
      <c r="D63" s="2">
        <v>46390.788497312184</v>
      </c>
      <c r="E63" t="s">
        <v>706</v>
      </c>
      <c r="H63" t="str">
        <f t="shared" si="0"/>
        <v>OK</v>
      </c>
      <c r="I63" t="str">
        <f t="shared" si="1"/>
        <v>OK</v>
      </c>
      <c r="J63" t="str">
        <f t="shared" si="2"/>
        <v>OK</v>
      </c>
    </row>
    <row r="64" spans="1:10">
      <c r="A64">
        <v>2078</v>
      </c>
      <c r="B64">
        <v>1045</v>
      </c>
      <c r="C64" t="s">
        <v>425</v>
      </c>
      <c r="D64" s="2">
        <v>47485.788497312948</v>
      </c>
      <c r="E64" t="s">
        <v>707</v>
      </c>
      <c r="H64" t="str">
        <f t="shared" si="0"/>
        <v>OK</v>
      </c>
      <c r="I64" t="str">
        <f t="shared" si="1"/>
        <v>OK</v>
      </c>
      <c r="J64" t="str">
        <f t="shared" si="2"/>
        <v>OK</v>
      </c>
    </row>
    <row r="65" spans="1:10">
      <c r="A65">
        <v>2079</v>
      </c>
      <c r="B65">
        <v>1045</v>
      </c>
      <c r="C65" t="s">
        <v>426</v>
      </c>
      <c r="D65" s="2">
        <v>46755.788497313682</v>
      </c>
      <c r="E65" t="s">
        <v>708</v>
      </c>
      <c r="H65" t="str">
        <f t="shared" si="0"/>
        <v>OK</v>
      </c>
      <c r="I65" t="str">
        <f t="shared" si="1"/>
        <v>OK</v>
      </c>
      <c r="J65" t="str">
        <f t="shared" si="2"/>
        <v>OK</v>
      </c>
    </row>
    <row r="66" spans="1:10">
      <c r="A66">
        <v>2080</v>
      </c>
      <c r="B66">
        <v>1046</v>
      </c>
      <c r="C66" t="s">
        <v>427</v>
      </c>
      <c r="D66" s="2">
        <v>47850.788497314432</v>
      </c>
      <c r="E66" t="s">
        <v>709</v>
      </c>
      <c r="H66" t="str">
        <f t="shared" si="0"/>
        <v>OK</v>
      </c>
      <c r="I66" t="str">
        <f t="shared" si="1"/>
        <v>OK</v>
      </c>
      <c r="J66" t="str">
        <f t="shared" si="2"/>
        <v>OK</v>
      </c>
    </row>
    <row r="67" spans="1:10">
      <c r="A67">
        <v>2081</v>
      </c>
      <c r="B67">
        <v>1046</v>
      </c>
      <c r="C67" t="s">
        <v>428</v>
      </c>
      <c r="D67" s="2">
        <v>46755.78849731521</v>
      </c>
      <c r="E67" t="s">
        <v>710</v>
      </c>
      <c r="H67" t="str">
        <f t="shared" ref="H67:H130" si="3">IF(ISBLANK(E67),"Lipsă","OK")</f>
        <v>OK</v>
      </c>
      <c r="I67" t="str">
        <f t="shared" ref="I67:I130" si="4">IF(LEN(C67)=16,"OK","Invalid")</f>
        <v>OK</v>
      </c>
      <c r="J67" t="str">
        <f t="shared" ref="J67:J130" si="5">IF(LEN(E67)=3,"OK","Invalid")</f>
        <v>OK</v>
      </c>
    </row>
    <row r="68" spans="1:10">
      <c r="A68">
        <v>2082</v>
      </c>
      <c r="B68">
        <v>1047</v>
      </c>
      <c r="C68" t="s">
        <v>429</v>
      </c>
      <c r="D68" s="2">
        <v>46755.788497315967</v>
      </c>
      <c r="E68" t="s">
        <v>711</v>
      </c>
      <c r="H68" t="str">
        <f t="shared" si="3"/>
        <v>OK</v>
      </c>
      <c r="I68" t="str">
        <f t="shared" si="4"/>
        <v>OK</v>
      </c>
      <c r="J68" t="str">
        <f t="shared" si="5"/>
        <v>OK</v>
      </c>
    </row>
    <row r="69" spans="1:10">
      <c r="A69">
        <v>2083</v>
      </c>
      <c r="B69">
        <v>1048</v>
      </c>
      <c r="C69" t="s">
        <v>430</v>
      </c>
      <c r="D69" s="2">
        <v>46755.788497316753</v>
      </c>
      <c r="E69" t="s">
        <v>712</v>
      </c>
      <c r="H69" t="str">
        <f t="shared" si="3"/>
        <v>OK</v>
      </c>
      <c r="I69" t="str">
        <f t="shared" si="4"/>
        <v>OK</v>
      </c>
      <c r="J69" t="str">
        <f t="shared" si="5"/>
        <v>OK</v>
      </c>
    </row>
    <row r="70" spans="1:10">
      <c r="A70">
        <v>2084</v>
      </c>
      <c r="B70">
        <v>1049</v>
      </c>
      <c r="C70" t="s">
        <v>431</v>
      </c>
      <c r="D70" s="2">
        <v>47485.78849731751</v>
      </c>
      <c r="E70" t="s">
        <v>713</v>
      </c>
      <c r="H70" t="str">
        <f t="shared" si="3"/>
        <v>OK</v>
      </c>
      <c r="I70" t="str">
        <f t="shared" si="4"/>
        <v>OK</v>
      </c>
      <c r="J70" t="str">
        <f t="shared" si="5"/>
        <v>OK</v>
      </c>
    </row>
    <row r="71" spans="1:10">
      <c r="A71">
        <v>2085</v>
      </c>
      <c r="B71">
        <v>1050</v>
      </c>
      <c r="C71" t="s">
        <v>432</v>
      </c>
      <c r="D71" s="2">
        <v>47850.788497318274</v>
      </c>
      <c r="E71" t="s">
        <v>714</v>
      </c>
      <c r="H71" t="str">
        <f t="shared" si="3"/>
        <v>OK</v>
      </c>
      <c r="I71" t="str">
        <f t="shared" si="4"/>
        <v>OK</v>
      </c>
      <c r="J71" t="str">
        <f t="shared" si="5"/>
        <v>OK</v>
      </c>
    </row>
    <row r="72" spans="1:10">
      <c r="A72">
        <v>2086</v>
      </c>
      <c r="B72">
        <v>1050</v>
      </c>
      <c r="C72" t="s">
        <v>433</v>
      </c>
      <c r="D72" s="2">
        <v>47850.788497319001</v>
      </c>
      <c r="E72" t="s">
        <v>715</v>
      </c>
      <c r="H72" t="str">
        <f t="shared" si="3"/>
        <v>OK</v>
      </c>
      <c r="I72" t="str">
        <f t="shared" si="4"/>
        <v>OK</v>
      </c>
      <c r="J72" t="str">
        <f t="shared" si="5"/>
        <v>OK</v>
      </c>
    </row>
    <row r="73" spans="1:10">
      <c r="A73">
        <v>2087</v>
      </c>
      <c r="B73">
        <v>1051</v>
      </c>
      <c r="C73" t="s">
        <v>434</v>
      </c>
      <c r="D73" s="2">
        <v>47850.78849731978</v>
      </c>
      <c r="E73" t="s">
        <v>716</v>
      </c>
      <c r="H73" t="str">
        <f t="shared" si="3"/>
        <v>OK</v>
      </c>
      <c r="I73" t="str">
        <f t="shared" si="4"/>
        <v>OK</v>
      </c>
      <c r="J73" t="str">
        <f t="shared" si="5"/>
        <v>OK</v>
      </c>
    </row>
    <row r="74" spans="1:10">
      <c r="A74">
        <v>2088</v>
      </c>
      <c r="B74">
        <v>1052</v>
      </c>
      <c r="C74" t="s">
        <v>435</v>
      </c>
      <c r="D74" s="2">
        <v>46755.788497320536</v>
      </c>
      <c r="E74" t="s">
        <v>717</v>
      </c>
      <c r="H74" t="str">
        <f t="shared" si="3"/>
        <v>OK</v>
      </c>
      <c r="I74" t="str">
        <f t="shared" si="4"/>
        <v>OK</v>
      </c>
      <c r="J74" t="str">
        <f t="shared" si="5"/>
        <v>OK</v>
      </c>
    </row>
    <row r="75" spans="1:10">
      <c r="A75">
        <v>2089</v>
      </c>
      <c r="B75">
        <v>1052</v>
      </c>
      <c r="C75" t="s">
        <v>436</v>
      </c>
      <c r="D75" s="2">
        <v>47850.788497321271</v>
      </c>
      <c r="E75" t="s">
        <v>718</v>
      </c>
      <c r="H75" t="str">
        <f t="shared" si="3"/>
        <v>OK</v>
      </c>
      <c r="I75" t="str">
        <f t="shared" si="4"/>
        <v>OK</v>
      </c>
      <c r="J75" t="str">
        <f t="shared" si="5"/>
        <v>OK</v>
      </c>
    </row>
    <row r="76" spans="1:10">
      <c r="A76">
        <v>2090</v>
      </c>
      <c r="B76">
        <v>1053</v>
      </c>
      <c r="C76" t="s">
        <v>437</v>
      </c>
      <c r="D76" s="2">
        <v>46390.788497322043</v>
      </c>
      <c r="E76" t="s">
        <v>712</v>
      </c>
      <c r="H76" t="str">
        <f t="shared" si="3"/>
        <v>OK</v>
      </c>
      <c r="I76" t="str">
        <f t="shared" si="4"/>
        <v>OK</v>
      </c>
      <c r="J76" t="str">
        <f t="shared" si="5"/>
        <v>OK</v>
      </c>
    </row>
    <row r="77" spans="1:10">
      <c r="A77">
        <v>2091</v>
      </c>
      <c r="B77">
        <v>1054</v>
      </c>
      <c r="C77" t="s">
        <v>438</v>
      </c>
      <c r="D77" s="2">
        <v>47120.788497322799</v>
      </c>
      <c r="E77" t="s">
        <v>719</v>
      </c>
      <c r="H77" t="str">
        <f t="shared" si="3"/>
        <v>OK</v>
      </c>
      <c r="I77" t="str">
        <f t="shared" si="4"/>
        <v>OK</v>
      </c>
      <c r="J77" t="str">
        <f t="shared" si="5"/>
        <v>OK</v>
      </c>
    </row>
    <row r="78" spans="1:10">
      <c r="A78">
        <v>2092</v>
      </c>
      <c r="B78">
        <v>1055</v>
      </c>
      <c r="C78" t="s">
        <v>439</v>
      </c>
      <c r="D78" s="2">
        <v>46755.788497323563</v>
      </c>
      <c r="E78" t="s">
        <v>700</v>
      </c>
      <c r="H78" t="str">
        <f t="shared" si="3"/>
        <v>OK</v>
      </c>
      <c r="I78" t="str">
        <f t="shared" si="4"/>
        <v>OK</v>
      </c>
      <c r="J78" t="str">
        <f t="shared" si="5"/>
        <v>OK</v>
      </c>
    </row>
    <row r="79" spans="1:10">
      <c r="A79">
        <v>2093</v>
      </c>
      <c r="B79">
        <v>1056</v>
      </c>
      <c r="C79" t="s">
        <v>440</v>
      </c>
      <c r="D79" s="2">
        <v>47485.788497324342</v>
      </c>
      <c r="E79" t="s">
        <v>720</v>
      </c>
      <c r="H79" t="str">
        <f t="shared" si="3"/>
        <v>OK</v>
      </c>
      <c r="I79" t="str">
        <f t="shared" si="4"/>
        <v>OK</v>
      </c>
      <c r="J79" t="str">
        <f t="shared" si="5"/>
        <v>OK</v>
      </c>
    </row>
    <row r="80" spans="1:10">
      <c r="A80">
        <v>2094</v>
      </c>
      <c r="B80">
        <v>1057</v>
      </c>
      <c r="C80" t="s">
        <v>441</v>
      </c>
      <c r="D80" s="2">
        <v>46390.788497325113</v>
      </c>
      <c r="E80" t="s">
        <v>721</v>
      </c>
      <c r="H80" t="str">
        <f t="shared" si="3"/>
        <v>OK</v>
      </c>
      <c r="I80" t="str">
        <f t="shared" si="4"/>
        <v>OK</v>
      </c>
      <c r="J80" t="str">
        <f t="shared" si="5"/>
        <v>OK</v>
      </c>
    </row>
    <row r="81" spans="1:10">
      <c r="A81">
        <v>2095</v>
      </c>
      <c r="B81">
        <v>1058</v>
      </c>
      <c r="C81" t="s">
        <v>442</v>
      </c>
      <c r="D81" s="2">
        <v>46390.788497325877</v>
      </c>
      <c r="E81" t="s">
        <v>722</v>
      </c>
      <c r="H81" t="str">
        <f t="shared" si="3"/>
        <v>OK</v>
      </c>
      <c r="I81" t="str">
        <f t="shared" si="4"/>
        <v>OK</v>
      </c>
      <c r="J81" t="str">
        <f t="shared" si="5"/>
        <v>OK</v>
      </c>
    </row>
    <row r="82" spans="1:10">
      <c r="A82">
        <v>2096</v>
      </c>
      <c r="B82">
        <v>1058</v>
      </c>
      <c r="C82" t="s">
        <v>443</v>
      </c>
      <c r="D82" s="2">
        <v>46755.788497326612</v>
      </c>
      <c r="E82" t="s">
        <v>723</v>
      </c>
      <c r="H82" t="str">
        <f t="shared" si="3"/>
        <v>OK</v>
      </c>
      <c r="I82" t="str">
        <f t="shared" si="4"/>
        <v>OK</v>
      </c>
      <c r="J82" t="str">
        <f t="shared" si="5"/>
        <v>OK</v>
      </c>
    </row>
    <row r="83" spans="1:10">
      <c r="A83">
        <v>2097</v>
      </c>
      <c r="B83">
        <v>1059</v>
      </c>
      <c r="C83" t="s">
        <v>444</v>
      </c>
      <c r="D83" s="2">
        <v>47120.788497327383</v>
      </c>
      <c r="E83" t="s">
        <v>724</v>
      </c>
      <c r="H83" t="str">
        <f t="shared" si="3"/>
        <v>OK</v>
      </c>
      <c r="I83" t="str">
        <f t="shared" si="4"/>
        <v>OK</v>
      </c>
      <c r="J83" t="str">
        <f t="shared" si="5"/>
        <v>OK</v>
      </c>
    </row>
    <row r="84" spans="1:10">
      <c r="A84">
        <v>2098</v>
      </c>
      <c r="B84">
        <v>1059</v>
      </c>
      <c r="C84" t="s">
        <v>445</v>
      </c>
      <c r="D84" s="2">
        <v>46755.788497328103</v>
      </c>
      <c r="E84" t="s">
        <v>725</v>
      </c>
      <c r="H84" t="str">
        <f t="shared" si="3"/>
        <v>OK</v>
      </c>
      <c r="I84" t="str">
        <f t="shared" si="4"/>
        <v>OK</v>
      </c>
      <c r="J84" t="str">
        <f t="shared" si="5"/>
        <v>OK</v>
      </c>
    </row>
    <row r="85" spans="1:10">
      <c r="A85">
        <v>2099</v>
      </c>
      <c r="B85">
        <v>1060</v>
      </c>
      <c r="C85" t="s">
        <v>446</v>
      </c>
      <c r="D85" s="2">
        <v>46755.788497328867</v>
      </c>
      <c r="E85" t="s">
        <v>655</v>
      </c>
      <c r="H85" t="str">
        <f t="shared" si="3"/>
        <v>OK</v>
      </c>
      <c r="I85" t="str">
        <f t="shared" si="4"/>
        <v>OK</v>
      </c>
      <c r="J85" t="str">
        <f t="shared" si="5"/>
        <v>OK</v>
      </c>
    </row>
    <row r="86" spans="1:10">
      <c r="A86">
        <v>2100</v>
      </c>
      <c r="B86">
        <v>1060</v>
      </c>
      <c r="C86" t="s">
        <v>447</v>
      </c>
      <c r="D86" s="2">
        <v>47485.78849732961</v>
      </c>
      <c r="E86" t="s">
        <v>726</v>
      </c>
      <c r="H86" t="str">
        <f t="shared" si="3"/>
        <v>OK</v>
      </c>
      <c r="I86" t="str">
        <f t="shared" si="4"/>
        <v>OK</v>
      </c>
      <c r="J86" t="str">
        <f t="shared" si="5"/>
        <v>OK</v>
      </c>
    </row>
    <row r="87" spans="1:10">
      <c r="A87">
        <v>2101</v>
      </c>
      <c r="B87">
        <v>1061</v>
      </c>
      <c r="C87" t="s">
        <v>448</v>
      </c>
      <c r="D87" s="2">
        <v>47850.788497330374</v>
      </c>
      <c r="E87" t="s">
        <v>727</v>
      </c>
      <c r="H87" t="str">
        <f t="shared" si="3"/>
        <v>OK</v>
      </c>
      <c r="I87" t="str">
        <f t="shared" si="4"/>
        <v>OK</v>
      </c>
      <c r="J87" t="str">
        <f t="shared" si="5"/>
        <v>OK</v>
      </c>
    </row>
    <row r="88" spans="1:10">
      <c r="A88">
        <v>2102</v>
      </c>
      <c r="B88">
        <v>1062</v>
      </c>
      <c r="C88" t="s">
        <v>449</v>
      </c>
      <c r="D88" s="2">
        <v>47850.788497331137</v>
      </c>
      <c r="E88" t="s">
        <v>728</v>
      </c>
      <c r="H88" t="str">
        <f t="shared" si="3"/>
        <v>OK</v>
      </c>
      <c r="I88" t="str">
        <f t="shared" si="4"/>
        <v>OK</v>
      </c>
      <c r="J88" t="str">
        <f t="shared" si="5"/>
        <v>OK</v>
      </c>
    </row>
    <row r="89" spans="1:10">
      <c r="A89">
        <v>2103</v>
      </c>
      <c r="B89">
        <v>1062</v>
      </c>
      <c r="C89" t="s">
        <v>450</v>
      </c>
      <c r="D89" s="2">
        <v>46755.788497331872</v>
      </c>
      <c r="E89" t="s">
        <v>729</v>
      </c>
      <c r="H89" t="str">
        <f t="shared" si="3"/>
        <v>OK</v>
      </c>
      <c r="I89" t="str">
        <f t="shared" si="4"/>
        <v>OK</v>
      </c>
      <c r="J89" t="str">
        <f t="shared" si="5"/>
        <v>OK</v>
      </c>
    </row>
    <row r="90" spans="1:10">
      <c r="A90">
        <v>2104</v>
      </c>
      <c r="B90">
        <v>1063</v>
      </c>
      <c r="C90" t="s">
        <v>451</v>
      </c>
      <c r="D90" s="2">
        <v>47485.788497332629</v>
      </c>
      <c r="E90" t="s">
        <v>730</v>
      </c>
      <c r="H90" t="str">
        <f t="shared" si="3"/>
        <v>OK</v>
      </c>
      <c r="I90" t="str">
        <f t="shared" si="4"/>
        <v>OK</v>
      </c>
      <c r="J90" t="str">
        <f t="shared" si="5"/>
        <v>OK</v>
      </c>
    </row>
    <row r="91" spans="1:10">
      <c r="A91">
        <v>2105</v>
      </c>
      <c r="B91">
        <v>1064</v>
      </c>
      <c r="C91" t="s">
        <v>452</v>
      </c>
      <c r="D91" s="2">
        <v>47120.788497333531</v>
      </c>
      <c r="E91" t="s">
        <v>731</v>
      </c>
      <c r="H91" t="str">
        <f t="shared" si="3"/>
        <v>OK</v>
      </c>
      <c r="I91" t="str">
        <f t="shared" si="4"/>
        <v>OK</v>
      </c>
      <c r="J91" t="str">
        <f t="shared" si="5"/>
        <v>OK</v>
      </c>
    </row>
    <row r="92" spans="1:10">
      <c r="A92">
        <v>2106</v>
      </c>
      <c r="B92">
        <v>1064</v>
      </c>
      <c r="C92" t="s">
        <v>453</v>
      </c>
      <c r="D92" s="2">
        <v>46755.788497334281</v>
      </c>
      <c r="E92" t="s">
        <v>732</v>
      </c>
      <c r="H92" t="str">
        <f t="shared" si="3"/>
        <v>OK</v>
      </c>
      <c r="I92" t="str">
        <f t="shared" si="4"/>
        <v>OK</v>
      </c>
      <c r="J92" t="str">
        <f t="shared" si="5"/>
        <v>OK</v>
      </c>
    </row>
    <row r="93" spans="1:10">
      <c r="A93">
        <v>2107</v>
      </c>
      <c r="B93">
        <v>1065</v>
      </c>
      <c r="C93" t="s">
        <v>454</v>
      </c>
      <c r="D93" s="2">
        <v>47120.788497335037</v>
      </c>
      <c r="E93" t="s">
        <v>733</v>
      </c>
      <c r="H93" t="str">
        <f t="shared" si="3"/>
        <v>OK</v>
      </c>
      <c r="I93" t="str">
        <f t="shared" si="4"/>
        <v>OK</v>
      </c>
      <c r="J93" t="str">
        <f t="shared" si="5"/>
        <v>OK</v>
      </c>
    </row>
    <row r="94" spans="1:10">
      <c r="A94">
        <v>2108</v>
      </c>
      <c r="B94">
        <v>1065</v>
      </c>
      <c r="C94" t="s">
        <v>455</v>
      </c>
      <c r="D94" s="2">
        <v>47850.788497335772</v>
      </c>
      <c r="E94" t="s">
        <v>687</v>
      </c>
      <c r="H94" t="str">
        <f t="shared" si="3"/>
        <v>OK</v>
      </c>
      <c r="I94" t="str">
        <f t="shared" si="4"/>
        <v>OK</v>
      </c>
      <c r="J94" t="str">
        <f t="shared" si="5"/>
        <v>OK</v>
      </c>
    </row>
    <row r="95" spans="1:10">
      <c r="A95">
        <v>2109</v>
      </c>
      <c r="B95">
        <v>1066</v>
      </c>
      <c r="C95" t="s">
        <v>456</v>
      </c>
      <c r="D95" s="2">
        <v>46390.788497336551</v>
      </c>
      <c r="E95" t="s">
        <v>734</v>
      </c>
      <c r="H95" t="str">
        <f t="shared" si="3"/>
        <v>OK</v>
      </c>
      <c r="I95" t="str">
        <f t="shared" si="4"/>
        <v>OK</v>
      </c>
      <c r="J95" t="str">
        <f t="shared" si="5"/>
        <v>OK</v>
      </c>
    </row>
    <row r="96" spans="1:10">
      <c r="A96">
        <v>2110</v>
      </c>
      <c r="B96">
        <v>1066</v>
      </c>
      <c r="C96" t="s">
        <v>457</v>
      </c>
      <c r="D96" s="2">
        <v>47850.788497337293</v>
      </c>
      <c r="E96" t="s">
        <v>735</v>
      </c>
      <c r="H96" t="str">
        <f t="shared" si="3"/>
        <v>OK</v>
      </c>
      <c r="I96" t="str">
        <f t="shared" si="4"/>
        <v>OK</v>
      </c>
      <c r="J96" t="str">
        <f t="shared" si="5"/>
        <v>OK</v>
      </c>
    </row>
    <row r="97" spans="1:10">
      <c r="A97">
        <v>2111</v>
      </c>
      <c r="B97">
        <v>1067</v>
      </c>
      <c r="C97" t="s">
        <v>458</v>
      </c>
      <c r="D97" s="2">
        <v>47850.788497338057</v>
      </c>
      <c r="E97" t="s">
        <v>736</v>
      </c>
      <c r="H97" t="str">
        <f t="shared" si="3"/>
        <v>OK</v>
      </c>
      <c r="I97" t="str">
        <f t="shared" si="4"/>
        <v>OK</v>
      </c>
      <c r="J97" t="str">
        <f t="shared" si="5"/>
        <v>OK</v>
      </c>
    </row>
    <row r="98" spans="1:10">
      <c r="A98">
        <v>2112</v>
      </c>
      <c r="B98">
        <v>1068</v>
      </c>
      <c r="C98" t="s">
        <v>459</v>
      </c>
      <c r="D98" s="2">
        <v>46390.788497338828</v>
      </c>
      <c r="E98" t="s">
        <v>737</v>
      </c>
      <c r="H98" t="str">
        <f t="shared" si="3"/>
        <v>OK</v>
      </c>
      <c r="I98" t="str">
        <f t="shared" si="4"/>
        <v>OK</v>
      </c>
      <c r="J98" t="str">
        <f t="shared" si="5"/>
        <v>OK</v>
      </c>
    </row>
    <row r="99" spans="1:10">
      <c r="A99">
        <v>2113</v>
      </c>
      <c r="B99">
        <v>1068</v>
      </c>
      <c r="C99" t="s">
        <v>460</v>
      </c>
      <c r="D99" s="2">
        <v>47850.78849733957</v>
      </c>
      <c r="E99" t="s">
        <v>738</v>
      </c>
      <c r="H99" t="str">
        <f t="shared" si="3"/>
        <v>OK</v>
      </c>
      <c r="I99" t="str">
        <f t="shared" si="4"/>
        <v>OK</v>
      </c>
      <c r="J99" t="str">
        <f t="shared" si="5"/>
        <v>OK</v>
      </c>
    </row>
    <row r="100" spans="1:10">
      <c r="A100">
        <v>2114</v>
      </c>
      <c r="B100">
        <v>1069</v>
      </c>
      <c r="C100" t="s">
        <v>461</v>
      </c>
      <c r="D100" s="2">
        <v>47120.788497340327</v>
      </c>
      <c r="E100" t="s">
        <v>739</v>
      </c>
      <c r="H100" t="str">
        <f t="shared" si="3"/>
        <v>OK</v>
      </c>
      <c r="I100" t="str">
        <f t="shared" si="4"/>
        <v>OK</v>
      </c>
      <c r="J100" t="str">
        <f t="shared" si="5"/>
        <v>OK</v>
      </c>
    </row>
    <row r="101" spans="1:10">
      <c r="A101">
        <v>2115</v>
      </c>
      <c r="B101">
        <v>1069</v>
      </c>
      <c r="C101" t="s">
        <v>462</v>
      </c>
      <c r="D101" s="2">
        <v>47850.788497341062</v>
      </c>
      <c r="E101" t="s">
        <v>740</v>
      </c>
      <c r="H101" t="str">
        <f t="shared" si="3"/>
        <v>OK</v>
      </c>
      <c r="I101" t="str">
        <f t="shared" si="4"/>
        <v>OK</v>
      </c>
      <c r="J101" t="str">
        <f t="shared" si="5"/>
        <v>OK</v>
      </c>
    </row>
    <row r="102" spans="1:10">
      <c r="A102">
        <v>2116</v>
      </c>
      <c r="B102">
        <v>1070</v>
      </c>
      <c r="C102" t="s">
        <v>463</v>
      </c>
      <c r="D102" s="2">
        <v>46390.788497342117</v>
      </c>
      <c r="E102" t="s">
        <v>741</v>
      </c>
      <c r="H102" t="str">
        <f t="shared" si="3"/>
        <v>OK</v>
      </c>
      <c r="I102" t="str">
        <f t="shared" si="4"/>
        <v>OK</v>
      </c>
      <c r="J102" t="str">
        <f t="shared" si="5"/>
        <v>OK</v>
      </c>
    </row>
    <row r="103" spans="1:10">
      <c r="A103">
        <v>2117</v>
      </c>
      <c r="B103">
        <v>1071</v>
      </c>
      <c r="C103" t="s">
        <v>464</v>
      </c>
      <c r="D103" s="2">
        <v>46755.788497342903</v>
      </c>
      <c r="E103" t="s">
        <v>742</v>
      </c>
      <c r="H103" t="str">
        <f t="shared" si="3"/>
        <v>OK</v>
      </c>
      <c r="I103" t="str">
        <f t="shared" si="4"/>
        <v>OK</v>
      </c>
      <c r="J103" t="str">
        <f t="shared" si="5"/>
        <v>OK</v>
      </c>
    </row>
    <row r="104" spans="1:10">
      <c r="A104">
        <v>2118</v>
      </c>
      <c r="B104">
        <v>1071</v>
      </c>
      <c r="C104" t="s">
        <v>465</v>
      </c>
      <c r="D104" s="2">
        <v>47485.788497343638</v>
      </c>
      <c r="E104" t="s">
        <v>743</v>
      </c>
      <c r="H104" t="str">
        <f t="shared" si="3"/>
        <v>OK</v>
      </c>
      <c r="I104" t="str">
        <f t="shared" si="4"/>
        <v>OK</v>
      </c>
      <c r="J104" t="str">
        <f t="shared" si="5"/>
        <v>OK</v>
      </c>
    </row>
    <row r="105" spans="1:10">
      <c r="A105">
        <v>2119</v>
      </c>
      <c r="B105">
        <v>1072</v>
      </c>
      <c r="C105" t="s">
        <v>466</v>
      </c>
      <c r="D105" s="2">
        <v>47850.788497344402</v>
      </c>
      <c r="E105" t="s">
        <v>744</v>
      </c>
      <c r="H105" t="str">
        <f t="shared" si="3"/>
        <v>OK</v>
      </c>
      <c r="I105" t="str">
        <f t="shared" si="4"/>
        <v>OK</v>
      </c>
      <c r="J105" t="str">
        <f t="shared" si="5"/>
        <v>OK</v>
      </c>
    </row>
    <row r="106" spans="1:10">
      <c r="A106">
        <v>2120</v>
      </c>
      <c r="B106">
        <v>1072</v>
      </c>
      <c r="C106" t="s">
        <v>467</v>
      </c>
      <c r="D106" s="2">
        <v>47120.788497345151</v>
      </c>
      <c r="E106" t="s">
        <v>745</v>
      </c>
      <c r="H106" t="str">
        <f t="shared" si="3"/>
        <v>OK</v>
      </c>
      <c r="I106" t="str">
        <f t="shared" si="4"/>
        <v>OK</v>
      </c>
      <c r="J106" t="str">
        <f t="shared" si="5"/>
        <v>OK</v>
      </c>
    </row>
    <row r="107" spans="1:10">
      <c r="A107">
        <v>2121</v>
      </c>
      <c r="B107">
        <v>1073</v>
      </c>
      <c r="C107" t="s">
        <v>468</v>
      </c>
      <c r="D107" s="2">
        <v>47485.788497345908</v>
      </c>
      <c r="E107" t="s">
        <v>746</v>
      </c>
      <c r="H107" t="str">
        <f t="shared" si="3"/>
        <v>OK</v>
      </c>
      <c r="I107" t="str">
        <f t="shared" si="4"/>
        <v>OK</v>
      </c>
      <c r="J107" t="str">
        <f t="shared" si="5"/>
        <v>OK</v>
      </c>
    </row>
    <row r="108" spans="1:10">
      <c r="A108">
        <v>2122</v>
      </c>
      <c r="B108">
        <v>1074</v>
      </c>
      <c r="C108" t="s">
        <v>469</v>
      </c>
      <c r="D108" s="2">
        <v>47850.788497346679</v>
      </c>
      <c r="E108" t="s">
        <v>747</v>
      </c>
      <c r="H108" t="str">
        <f t="shared" si="3"/>
        <v>OK</v>
      </c>
      <c r="I108" t="str">
        <f t="shared" si="4"/>
        <v>OK</v>
      </c>
      <c r="J108" t="str">
        <f t="shared" si="5"/>
        <v>OK</v>
      </c>
    </row>
    <row r="109" spans="1:10">
      <c r="A109">
        <v>2123</v>
      </c>
      <c r="B109">
        <v>1075</v>
      </c>
      <c r="C109" t="s">
        <v>470</v>
      </c>
      <c r="D109" s="2">
        <v>46390.788497347428</v>
      </c>
      <c r="E109" t="s">
        <v>748</v>
      </c>
      <c r="H109" t="str">
        <f t="shared" si="3"/>
        <v>OK</v>
      </c>
      <c r="I109" t="str">
        <f t="shared" si="4"/>
        <v>OK</v>
      </c>
      <c r="J109" t="str">
        <f t="shared" si="5"/>
        <v>OK</v>
      </c>
    </row>
    <row r="110" spans="1:10">
      <c r="A110">
        <v>2124</v>
      </c>
      <c r="B110">
        <v>1076</v>
      </c>
      <c r="C110" t="s">
        <v>471</v>
      </c>
      <c r="D110" s="2">
        <v>47485.788497348192</v>
      </c>
      <c r="E110" t="s">
        <v>659</v>
      </c>
      <c r="H110" t="str">
        <f t="shared" si="3"/>
        <v>OK</v>
      </c>
      <c r="I110" t="str">
        <f t="shared" si="4"/>
        <v>OK</v>
      </c>
      <c r="J110" t="str">
        <f t="shared" si="5"/>
        <v>OK</v>
      </c>
    </row>
    <row r="111" spans="1:10">
      <c r="A111">
        <v>2125</v>
      </c>
      <c r="B111">
        <v>1077</v>
      </c>
      <c r="C111" t="s">
        <v>472</v>
      </c>
      <c r="D111" s="2">
        <v>47485.788497348971</v>
      </c>
      <c r="E111" t="s">
        <v>749</v>
      </c>
      <c r="H111" t="str">
        <f t="shared" si="3"/>
        <v>OK</v>
      </c>
      <c r="I111" t="str">
        <f t="shared" si="4"/>
        <v>OK</v>
      </c>
      <c r="J111" t="str">
        <f t="shared" si="5"/>
        <v>OK</v>
      </c>
    </row>
    <row r="112" spans="1:10">
      <c r="A112">
        <v>2126</v>
      </c>
      <c r="B112">
        <v>1078</v>
      </c>
      <c r="C112" t="s">
        <v>473</v>
      </c>
      <c r="D112" s="2">
        <v>46390.788497349742</v>
      </c>
      <c r="E112" t="s">
        <v>736</v>
      </c>
      <c r="H112" t="str">
        <f t="shared" si="3"/>
        <v>OK</v>
      </c>
      <c r="I112" t="str">
        <f t="shared" si="4"/>
        <v>OK</v>
      </c>
      <c r="J112" t="str">
        <f t="shared" si="5"/>
        <v>OK</v>
      </c>
    </row>
    <row r="113" spans="1:10">
      <c r="A113">
        <v>2127</v>
      </c>
      <c r="B113">
        <v>1078</v>
      </c>
      <c r="C113" t="s">
        <v>474</v>
      </c>
      <c r="D113" s="2">
        <v>47120.788497350477</v>
      </c>
      <c r="E113" t="s">
        <v>750</v>
      </c>
      <c r="H113" t="str">
        <f t="shared" si="3"/>
        <v>OK</v>
      </c>
      <c r="I113" t="str">
        <f t="shared" si="4"/>
        <v>OK</v>
      </c>
      <c r="J113" t="str">
        <f t="shared" si="5"/>
        <v>OK</v>
      </c>
    </row>
    <row r="114" spans="1:10">
      <c r="A114">
        <v>2128</v>
      </c>
      <c r="B114">
        <v>1079</v>
      </c>
      <c r="C114" t="s">
        <v>475</v>
      </c>
      <c r="D114" s="2">
        <v>46755.788497351226</v>
      </c>
      <c r="E114" t="s">
        <v>751</v>
      </c>
      <c r="H114" t="str">
        <f t="shared" si="3"/>
        <v>OK</v>
      </c>
      <c r="I114" t="str">
        <f t="shared" si="4"/>
        <v>OK</v>
      </c>
      <c r="J114" t="str">
        <f t="shared" si="5"/>
        <v>OK</v>
      </c>
    </row>
    <row r="115" spans="1:10">
      <c r="A115">
        <v>2129</v>
      </c>
      <c r="B115">
        <v>1080</v>
      </c>
      <c r="C115" t="s">
        <v>476</v>
      </c>
      <c r="D115" s="2">
        <v>47120.788497351998</v>
      </c>
      <c r="E115" t="s">
        <v>752</v>
      </c>
      <c r="H115" t="str">
        <f t="shared" si="3"/>
        <v>OK</v>
      </c>
      <c r="I115" t="str">
        <f t="shared" si="4"/>
        <v>OK</v>
      </c>
      <c r="J115" t="str">
        <f t="shared" si="5"/>
        <v>OK</v>
      </c>
    </row>
    <row r="116" spans="1:10">
      <c r="A116">
        <v>2130</v>
      </c>
      <c r="B116">
        <v>1081</v>
      </c>
      <c r="C116" t="s">
        <v>477</v>
      </c>
      <c r="D116" s="2">
        <v>46390.788497352769</v>
      </c>
      <c r="E116" t="s">
        <v>753</v>
      </c>
      <c r="H116" t="str">
        <f t="shared" si="3"/>
        <v>OK</v>
      </c>
      <c r="I116" t="str">
        <f t="shared" si="4"/>
        <v>OK</v>
      </c>
      <c r="J116" t="str">
        <f t="shared" si="5"/>
        <v>OK</v>
      </c>
    </row>
    <row r="117" spans="1:10">
      <c r="A117">
        <v>2131</v>
      </c>
      <c r="B117">
        <v>1082</v>
      </c>
      <c r="C117" t="s">
        <v>478</v>
      </c>
      <c r="D117" s="2">
        <v>47485.788497353533</v>
      </c>
      <c r="E117" t="s">
        <v>754</v>
      </c>
      <c r="H117" t="str">
        <f t="shared" si="3"/>
        <v>OK</v>
      </c>
      <c r="I117" t="str">
        <f t="shared" si="4"/>
        <v>OK</v>
      </c>
      <c r="J117" t="str">
        <f t="shared" si="5"/>
        <v>OK</v>
      </c>
    </row>
    <row r="118" spans="1:10">
      <c r="A118">
        <v>2132</v>
      </c>
      <c r="B118">
        <v>1083</v>
      </c>
      <c r="C118" t="s">
        <v>479</v>
      </c>
      <c r="D118" s="2">
        <v>47485.788497354297</v>
      </c>
      <c r="E118" t="s">
        <v>755</v>
      </c>
      <c r="H118" t="str">
        <f t="shared" si="3"/>
        <v>OK</v>
      </c>
      <c r="I118" t="str">
        <f t="shared" si="4"/>
        <v>OK</v>
      </c>
      <c r="J118" t="str">
        <f t="shared" si="5"/>
        <v>OK</v>
      </c>
    </row>
    <row r="119" spans="1:10">
      <c r="A119">
        <v>2133</v>
      </c>
      <c r="B119">
        <v>1084</v>
      </c>
      <c r="C119" t="s">
        <v>480</v>
      </c>
      <c r="D119" s="2">
        <v>46390.788497355061</v>
      </c>
      <c r="E119" t="s">
        <v>756</v>
      </c>
      <c r="H119" t="str">
        <f t="shared" si="3"/>
        <v>OK</v>
      </c>
      <c r="I119" t="str">
        <f t="shared" si="4"/>
        <v>OK</v>
      </c>
      <c r="J119" t="str">
        <f t="shared" si="5"/>
        <v>OK</v>
      </c>
    </row>
    <row r="120" spans="1:10">
      <c r="A120">
        <v>2134</v>
      </c>
      <c r="B120">
        <v>1085</v>
      </c>
      <c r="C120" t="s">
        <v>481</v>
      </c>
      <c r="D120" s="2">
        <v>47850.788497355818</v>
      </c>
      <c r="E120" t="s">
        <v>757</v>
      </c>
      <c r="H120" t="str">
        <f t="shared" si="3"/>
        <v>OK</v>
      </c>
      <c r="I120" t="str">
        <f t="shared" si="4"/>
        <v>OK</v>
      </c>
      <c r="J120" t="str">
        <f t="shared" si="5"/>
        <v>OK</v>
      </c>
    </row>
    <row r="121" spans="1:10">
      <c r="A121">
        <v>2135</v>
      </c>
      <c r="B121">
        <v>1085</v>
      </c>
      <c r="C121" t="s">
        <v>482</v>
      </c>
      <c r="D121" s="2">
        <v>46755.788497356552</v>
      </c>
      <c r="E121" t="s">
        <v>758</v>
      </c>
      <c r="H121" t="str">
        <f t="shared" si="3"/>
        <v>OK</v>
      </c>
      <c r="I121" t="str">
        <f t="shared" si="4"/>
        <v>OK</v>
      </c>
      <c r="J121" t="str">
        <f t="shared" si="5"/>
        <v>OK</v>
      </c>
    </row>
    <row r="122" spans="1:10">
      <c r="A122">
        <v>2136</v>
      </c>
      <c r="B122">
        <v>1086</v>
      </c>
      <c r="C122" t="s">
        <v>483</v>
      </c>
      <c r="D122" s="2">
        <v>47485.788497357302</v>
      </c>
      <c r="E122" t="s">
        <v>759</v>
      </c>
      <c r="H122" t="str">
        <f t="shared" si="3"/>
        <v>OK</v>
      </c>
      <c r="I122" t="str">
        <f t="shared" si="4"/>
        <v>OK</v>
      </c>
      <c r="J122" t="str">
        <f t="shared" si="5"/>
        <v>OK</v>
      </c>
    </row>
    <row r="123" spans="1:10">
      <c r="A123">
        <v>2137</v>
      </c>
      <c r="B123">
        <v>1087</v>
      </c>
      <c r="C123" t="s">
        <v>484</v>
      </c>
      <c r="D123" s="2">
        <v>46755.78849735808</v>
      </c>
      <c r="E123" t="s">
        <v>760</v>
      </c>
      <c r="H123" t="str">
        <f t="shared" si="3"/>
        <v>OK</v>
      </c>
      <c r="I123" t="str">
        <f t="shared" si="4"/>
        <v>OK</v>
      </c>
      <c r="J123" t="str">
        <f t="shared" si="5"/>
        <v>OK</v>
      </c>
    </row>
    <row r="124" spans="1:10">
      <c r="A124">
        <v>2138</v>
      </c>
      <c r="B124">
        <v>1088</v>
      </c>
      <c r="C124" t="s">
        <v>485</v>
      </c>
      <c r="D124" s="2">
        <v>46755.788497358837</v>
      </c>
      <c r="E124" t="s">
        <v>761</v>
      </c>
      <c r="H124" t="str">
        <f t="shared" si="3"/>
        <v>OK</v>
      </c>
      <c r="I124" t="str">
        <f t="shared" si="4"/>
        <v>OK</v>
      </c>
      <c r="J124" t="str">
        <f t="shared" si="5"/>
        <v>OK</v>
      </c>
    </row>
    <row r="125" spans="1:10">
      <c r="A125">
        <v>2139</v>
      </c>
      <c r="B125">
        <v>1088</v>
      </c>
      <c r="C125" t="s">
        <v>486</v>
      </c>
      <c r="D125" s="2">
        <v>47120.788497359557</v>
      </c>
      <c r="E125" t="s">
        <v>762</v>
      </c>
      <c r="H125" t="str">
        <f t="shared" si="3"/>
        <v>OK</v>
      </c>
      <c r="I125" t="str">
        <f t="shared" si="4"/>
        <v>OK</v>
      </c>
      <c r="J125" t="str">
        <f t="shared" si="5"/>
        <v>OK</v>
      </c>
    </row>
    <row r="126" spans="1:10">
      <c r="A126">
        <v>2140</v>
      </c>
      <c r="B126">
        <v>1089</v>
      </c>
      <c r="C126" t="s">
        <v>487</v>
      </c>
      <c r="D126" s="2">
        <v>46755.788497360321</v>
      </c>
      <c r="E126" t="s">
        <v>763</v>
      </c>
      <c r="H126" t="str">
        <f t="shared" si="3"/>
        <v>OK</v>
      </c>
      <c r="I126" t="str">
        <f t="shared" si="4"/>
        <v>OK</v>
      </c>
      <c r="J126" t="str">
        <f t="shared" si="5"/>
        <v>OK</v>
      </c>
    </row>
    <row r="127" spans="1:10">
      <c r="A127">
        <v>2141</v>
      </c>
      <c r="B127">
        <v>1089</v>
      </c>
      <c r="C127" t="s">
        <v>488</v>
      </c>
      <c r="D127" s="2">
        <v>47850.788497361063</v>
      </c>
      <c r="E127" t="s">
        <v>764</v>
      </c>
      <c r="H127" t="str">
        <f t="shared" si="3"/>
        <v>OK</v>
      </c>
      <c r="I127" t="str">
        <f t="shared" si="4"/>
        <v>OK</v>
      </c>
      <c r="J127" t="str">
        <f t="shared" si="5"/>
        <v>OK</v>
      </c>
    </row>
    <row r="128" spans="1:10">
      <c r="A128">
        <v>2142</v>
      </c>
      <c r="B128">
        <v>1090</v>
      </c>
      <c r="C128" t="s">
        <v>489</v>
      </c>
      <c r="D128" s="2">
        <v>46755.788497361827</v>
      </c>
      <c r="E128" t="s">
        <v>765</v>
      </c>
      <c r="H128" t="str">
        <f t="shared" si="3"/>
        <v>OK</v>
      </c>
      <c r="I128" t="str">
        <f t="shared" si="4"/>
        <v>OK</v>
      </c>
      <c r="J128" t="str">
        <f t="shared" si="5"/>
        <v>OK</v>
      </c>
    </row>
    <row r="129" spans="1:10">
      <c r="A129">
        <v>2143</v>
      </c>
      <c r="B129">
        <v>1090</v>
      </c>
      <c r="C129" t="s">
        <v>490</v>
      </c>
      <c r="D129" s="2">
        <v>47850.788497362613</v>
      </c>
      <c r="E129" t="s">
        <v>766</v>
      </c>
      <c r="H129" t="str">
        <f t="shared" si="3"/>
        <v>OK</v>
      </c>
      <c r="I129" t="str">
        <f t="shared" si="4"/>
        <v>OK</v>
      </c>
      <c r="J129" t="str">
        <f t="shared" si="5"/>
        <v>OK</v>
      </c>
    </row>
    <row r="130" spans="1:10">
      <c r="A130">
        <v>2144</v>
      </c>
      <c r="B130">
        <v>1091</v>
      </c>
      <c r="C130" t="s">
        <v>491</v>
      </c>
      <c r="D130" s="2">
        <v>46755.78849736337</v>
      </c>
      <c r="E130" t="s">
        <v>767</v>
      </c>
      <c r="H130" t="str">
        <f t="shared" si="3"/>
        <v>OK</v>
      </c>
      <c r="I130" t="str">
        <f t="shared" si="4"/>
        <v>OK</v>
      </c>
      <c r="J130" t="str">
        <f t="shared" si="5"/>
        <v>OK</v>
      </c>
    </row>
    <row r="131" spans="1:10">
      <c r="A131">
        <v>2145</v>
      </c>
      <c r="B131">
        <v>1091</v>
      </c>
      <c r="C131" t="s">
        <v>492</v>
      </c>
      <c r="D131" s="2">
        <v>47485.788497364112</v>
      </c>
      <c r="E131" t="s">
        <v>768</v>
      </c>
      <c r="H131" t="str">
        <f t="shared" ref="H131:H194" si="6">IF(ISBLANK(E131),"Lipsă","OK")</f>
        <v>OK</v>
      </c>
      <c r="I131" t="str">
        <f t="shared" ref="I131:I194" si="7">IF(LEN(C131)=16,"OK","Invalid")</f>
        <v>OK</v>
      </c>
      <c r="J131" t="str">
        <f t="shared" ref="J131:J194" si="8">IF(LEN(E131)=3,"OK","Invalid")</f>
        <v>OK</v>
      </c>
    </row>
    <row r="132" spans="1:10">
      <c r="A132">
        <v>2146</v>
      </c>
      <c r="B132">
        <v>1092</v>
      </c>
      <c r="C132" t="s">
        <v>493</v>
      </c>
      <c r="D132" s="2">
        <v>46390.788497364883</v>
      </c>
      <c r="E132" t="s">
        <v>769</v>
      </c>
      <c r="H132" t="str">
        <f t="shared" si="6"/>
        <v>OK</v>
      </c>
      <c r="I132" t="str">
        <f t="shared" si="7"/>
        <v>OK</v>
      </c>
      <c r="J132" t="str">
        <f t="shared" si="8"/>
        <v>OK</v>
      </c>
    </row>
    <row r="133" spans="1:10">
      <c r="A133">
        <v>2147</v>
      </c>
      <c r="B133">
        <v>1093</v>
      </c>
      <c r="C133" t="s">
        <v>494</v>
      </c>
      <c r="D133" s="2">
        <v>47120.78849736564</v>
      </c>
      <c r="E133" t="s">
        <v>770</v>
      </c>
      <c r="H133" t="str">
        <f t="shared" si="6"/>
        <v>OK</v>
      </c>
      <c r="I133" t="str">
        <f t="shared" si="7"/>
        <v>OK</v>
      </c>
      <c r="J133" t="str">
        <f t="shared" si="8"/>
        <v>OK</v>
      </c>
    </row>
    <row r="134" spans="1:10">
      <c r="A134">
        <v>2148</v>
      </c>
      <c r="B134">
        <v>1093</v>
      </c>
      <c r="C134" t="s">
        <v>495</v>
      </c>
      <c r="D134" s="2">
        <v>46755.788497366368</v>
      </c>
      <c r="E134" t="s">
        <v>771</v>
      </c>
      <c r="H134" t="str">
        <f t="shared" si="6"/>
        <v>OK</v>
      </c>
      <c r="I134" t="str">
        <f t="shared" si="7"/>
        <v>OK</v>
      </c>
      <c r="J134" t="str">
        <f t="shared" si="8"/>
        <v>OK</v>
      </c>
    </row>
    <row r="135" spans="1:10">
      <c r="A135">
        <v>2149</v>
      </c>
      <c r="B135">
        <v>1094</v>
      </c>
      <c r="C135" t="s">
        <v>496</v>
      </c>
      <c r="D135" s="2">
        <v>46755.788497367153</v>
      </c>
      <c r="E135" t="s">
        <v>731</v>
      </c>
      <c r="H135" t="str">
        <f t="shared" si="6"/>
        <v>OK</v>
      </c>
      <c r="I135" t="str">
        <f t="shared" si="7"/>
        <v>OK</v>
      </c>
      <c r="J135" t="str">
        <f t="shared" si="8"/>
        <v>OK</v>
      </c>
    </row>
    <row r="136" spans="1:10">
      <c r="A136">
        <v>2150</v>
      </c>
      <c r="B136">
        <v>1095</v>
      </c>
      <c r="C136" t="s">
        <v>497</v>
      </c>
      <c r="D136" s="2">
        <v>47485.788497367917</v>
      </c>
      <c r="E136" t="s">
        <v>772</v>
      </c>
      <c r="H136" t="str">
        <f t="shared" si="6"/>
        <v>OK</v>
      </c>
      <c r="I136" t="str">
        <f t="shared" si="7"/>
        <v>OK</v>
      </c>
      <c r="J136" t="str">
        <f t="shared" si="8"/>
        <v>OK</v>
      </c>
    </row>
    <row r="137" spans="1:10">
      <c r="A137">
        <v>2151</v>
      </c>
      <c r="B137">
        <v>1095</v>
      </c>
      <c r="C137" t="s">
        <v>498</v>
      </c>
      <c r="D137" s="2">
        <v>47850.788497368652</v>
      </c>
      <c r="E137" t="s">
        <v>773</v>
      </c>
      <c r="H137" t="str">
        <f t="shared" si="6"/>
        <v>OK</v>
      </c>
      <c r="I137" t="str">
        <f t="shared" si="7"/>
        <v>OK</v>
      </c>
      <c r="J137" t="str">
        <f t="shared" si="8"/>
        <v>OK</v>
      </c>
    </row>
    <row r="138" spans="1:10">
      <c r="A138">
        <v>2152</v>
      </c>
      <c r="B138">
        <v>1096</v>
      </c>
      <c r="C138" t="s">
        <v>499</v>
      </c>
      <c r="D138" s="2">
        <v>46755.788497369409</v>
      </c>
      <c r="E138" t="s">
        <v>774</v>
      </c>
      <c r="H138" t="str">
        <f t="shared" si="6"/>
        <v>OK</v>
      </c>
      <c r="I138" t="str">
        <f t="shared" si="7"/>
        <v>OK</v>
      </c>
      <c r="J138" t="str">
        <f t="shared" si="8"/>
        <v>OK</v>
      </c>
    </row>
    <row r="139" spans="1:10">
      <c r="A139">
        <v>2153</v>
      </c>
      <c r="B139">
        <v>1097</v>
      </c>
      <c r="C139" t="s">
        <v>500</v>
      </c>
      <c r="D139" s="2">
        <v>46390.788497370173</v>
      </c>
      <c r="E139" t="s">
        <v>775</v>
      </c>
      <c r="H139" t="str">
        <f t="shared" si="6"/>
        <v>OK</v>
      </c>
      <c r="I139" t="str">
        <f t="shared" si="7"/>
        <v>OK</v>
      </c>
      <c r="J139" t="str">
        <f t="shared" si="8"/>
        <v>OK</v>
      </c>
    </row>
    <row r="140" spans="1:10">
      <c r="A140">
        <v>2154</v>
      </c>
      <c r="B140">
        <v>1098</v>
      </c>
      <c r="C140" t="s">
        <v>501</v>
      </c>
      <c r="D140" s="2">
        <v>47485.788497370952</v>
      </c>
      <c r="E140" t="s">
        <v>776</v>
      </c>
      <c r="H140" t="str">
        <f t="shared" si="6"/>
        <v>OK</v>
      </c>
      <c r="I140" t="str">
        <f t="shared" si="7"/>
        <v>OK</v>
      </c>
      <c r="J140" t="str">
        <f t="shared" si="8"/>
        <v>OK</v>
      </c>
    </row>
    <row r="141" spans="1:10">
      <c r="A141">
        <v>2155</v>
      </c>
      <c r="B141">
        <v>1099</v>
      </c>
      <c r="C141" t="s">
        <v>502</v>
      </c>
      <c r="D141" s="2">
        <v>46755.788497371723</v>
      </c>
      <c r="E141" t="s">
        <v>777</v>
      </c>
      <c r="H141" t="str">
        <f t="shared" si="6"/>
        <v>OK</v>
      </c>
      <c r="I141" t="str">
        <f t="shared" si="7"/>
        <v>OK</v>
      </c>
      <c r="J141" t="str">
        <f t="shared" si="8"/>
        <v>OK</v>
      </c>
    </row>
    <row r="142" spans="1:10">
      <c r="A142">
        <v>2156</v>
      </c>
      <c r="B142">
        <v>1100</v>
      </c>
      <c r="C142" t="s">
        <v>503</v>
      </c>
      <c r="D142" s="2">
        <v>46755.788497372479</v>
      </c>
      <c r="E142" t="s">
        <v>778</v>
      </c>
      <c r="H142" t="str">
        <f t="shared" si="6"/>
        <v>OK</v>
      </c>
      <c r="I142" t="str">
        <f t="shared" si="7"/>
        <v>OK</v>
      </c>
      <c r="J142" t="str">
        <f t="shared" si="8"/>
        <v>OK</v>
      </c>
    </row>
    <row r="143" spans="1:10">
      <c r="A143">
        <v>2157</v>
      </c>
      <c r="B143">
        <v>1100</v>
      </c>
      <c r="C143" t="s">
        <v>504</v>
      </c>
      <c r="D143" s="2">
        <v>47850.788497373207</v>
      </c>
      <c r="E143" t="s">
        <v>779</v>
      </c>
      <c r="H143" t="str">
        <f t="shared" si="6"/>
        <v>OK</v>
      </c>
      <c r="I143" t="str">
        <f t="shared" si="7"/>
        <v>OK</v>
      </c>
      <c r="J143" t="str">
        <f t="shared" si="8"/>
        <v>OK</v>
      </c>
    </row>
    <row r="144" spans="1:10">
      <c r="A144">
        <v>2158</v>
      </c>
      <c r="B144">
        <v>1101</v>
      </c>
      <c r="C144" t="s">
        <v>505</v>
      </c>
      <c r="D144" s="2">
        <v>47850.788497373978</v>
      </c>
      <c r="E144" t="s">
        <v>780</v>
      </c>
      <c r="H144" t="str">
        <f t="shared" si="6"/>
        <v>OK</v>
      </c>
      <c r="I144" t="str">
        <f t="shared" si="7"/>
        <v>OK</v>
      </c>
      <c r="J144" t="str">
        <f t="shared" si="8"/>
        <v>OK</v>
      </c>
    </row>
    <row r="145" spans="1:10">
      <c r="A145">
        <v>2159</v>
      </c>
      <c r="B145">
        <v>1102</v>
      </c>
      <c r="C145" t="s">
        <v>506</v>
      </c>
      <c r="D145" s="2">
        <v>46755.788497374757</v>
      </c>
      <c r="E145" t="s">
        <v>781</v>
      </c>
      <c r="H145" t="str">
        <f t="shared" si="6"/>
        <v>OK</v>
      </c>
      <c r="I145" t="str">
        <f t="shared" si="7"/>
        <v>OK</v>
      </c>
      <c r="J145" t="str">
        <f t="shared" si="8"/>
        <v>OK</v>
      </c>
    </row>
    <row r="146" spans="1:10">
      <c r="A146">
        <v>2160</v>
      </c>
      <c r="B146">
        <v>1103</v>
      </c>
      <c r="C146" t="s">
        <v>507</v>
      </c>
      <c r="D146" s="2">
        <v>47485.788497375514</v>
      </c>
      <c r="E146" t="s">
        <v>782</v>
      </c>
      <c r="H146" t="str">
        <f t="shared" si="6"/>
        <v>OK</v>
      </c>
      <c r="I146" t="str">
        <f t="shared" si="7"/>
        <v>OK</v>
      </c>
      <c r="J146" t="str">
        <f t="shared" si="8"/>
        <v>OK</v>
      </c>
    </row>
    <row r="147" spans="1:10">
      <c r="A147">
        <v>2161</v>
      </c>
      <c r="B147">
        <v>1103</v>
      </c>
      <c r="C147" t="s">
        <v>508</v>
      </c>
      <c r="D147" s="2">
        <v>47485.788497376241</v>
      </c>
      <c r="E147" t="s">
        <v>783</v>
      </c>
      <c r="H147" t="str">
        <f t="shared" si="6"/>
        <v>OK</v>
      </c>
      <c r="I147" t="str">
        <f t="shared" si="7"/>
        <v>OK</v>
      </c>
      <c r="J147" t="str">
        <f t="shared" si="8"/>
        <v>OK</v>
      </c>
    </row>
    <row r="148" spans="1:10">
      <c r="A148">
        <v>2162</v>
      </c>
      <c r="B148">
        <v>1104</v>
      </c>
      <c r="C148" t="s">
        <v>509</v>
      </c>
      <c r="D148" s="2">
        <v>46390.788497376991</v>
      </c>
      <c r="E148" t="s">
        <v>713</v>
      </c>
      <c r="H148" t="str">
        <f t="shared" si="6"/>
        <v>OK</v>
      </c>
      <c r="I148" t="str">
        <f t="shared" si="7"/>
        <v>OK</v>
      </c>
      <c r="J148" t="str">
        <f t="shared" si="8"/>
        <v>OK</v>
      </c>
    </row>
    <row r="149" spans="1:10">
      <c r="A149">
        <v>2163</v>
      </c>
      <c r="B149">
        <v>1104</v>
      </c>
      <c r="C149" t="s">
        <v>510</v>
      </c>
      <c r="D149" s="2">
        <v>47120.788497377718</v>
      </c>
      <c r="E149" t="s">
        <v>784</v>
      </c>
      <c r="H149" t="str">
        <f t="shared" si="6"/>
        <v>OK</v>
      </c>
      <c r="I149" t="str">
        <f t="shared" si="7"/>
        <v>OK</v>
      </c>
      <c r="J149" t="str">
        <f t="shared" si="8"/>
        <v>OK</v>
      </c>
    </row>
    <row r="150" spans="1:10">
      <c r="A150">
        <v>2164</v>
      </c>
      <c r="B150">
        <v>1105</v>
      </c>
      <c r="C150" t="s">
        <v>511</v>
      </c>
      <c r="D150" s="2">
        <v>47850.788497378693</v>
      </c>
      <c r="E150" t="s">
        <v>785</v>
      </c>
      <c r="H150" t="str">
        <f t="shared" si="6"/>
        <v>OK</v>
      </c>
      <c r="I150" t="str">
        <f t="shared" si="7"/>
        <v>OK</v>
      </c>
      <c r="J150" t="str">
        <f t="shared" si="8"/>
        <v>OK</v>
      </c>
    </row>
    <row r="151" spans="1:10">
      <c r="A151">
        <v>2165</v>
      </c>
      <c r="B151">
        <v>1106</v>
      </c>
      <c r="C151" t="s">
        <v>512</v>
      </c>
      <c r="D151" s="2">
        <v>47485.788497379479</v>
      </c>
      <c r="E151" t="s">
        <v>786</v>
      </c>
      <c r="H151" t="str">
        <f t="shared" si="6"/>
        <v>OK</v>
      </c>
      <c r="I151" t="str">
        <f t="shared" si="7"/>
        <v>OK</v>
      </c>
      <c r="J151" t="str">
        <f t="shared" si="8"/>
        <v>OK</v>
      </c>
    </row>
    <row r="152" spans="1:10">
      <c r="A152">
        <v>2166</v>
      </c>
      <c r="B152">
        <v>1107</v>
      </c>
      <c r="C152" t="s">
        <v>513</v>
      </c>
      <c r="D152" s="2">
        <v>46390.788497380243</v>
      </c>
      <c r="E152" t="s">
        <v>731</v>
      </c>
      <c r="H152" t="str">
        <f t="shared" si="6"/>
        <v>OK</v>
      </c>
      <c r="I152" t="str">
        <f t="shared" si="7"/>
        <v>OK</v>
      </c>
      <c r="J152" t="str">
        <f t="shared" si="8"/>
        <v>OK</v>
      </c>
    </row>
    <row r="153" spans="1:10">
      <c r="A153">
        <v>2167</v>
      </c>
      <c r="B153">
        <v>1107</v>
      </c>
      <c r="C153" t="s">
        <v>514</v>
      </c>
      <c r="D153" s="2">
        <v>47485.788497380963</v>
      </c>
      <c r="E153" t="s">
        <v>787</v>
      </c>
      <c r="H153" t="str">
        <f t="shared" si="6"/>
        <v>OK</v>
      </c>
      <c r="I153" t="str">
        <f t="shared" si="7"/>
        <v>OK</v>
      </c>
      <c r="J153" t="str">
        <f t="shared" si="8"/>
        <v>OK</v>
      </c>
    </row>
    <row r="154" spans="1:10">
      <c r="A154">
        <v>2168</v>
      </c>
      <c r="B154">
        <v>1108</v>
      </c>
      <c r="C154" t="s">
        <v>515</v>
      </c>
      <c r="D154" s="2">
        <v>47485.788497381727</v>
      </c>
      <c r="E154" t="s">
        <v>788</v>
      </c>
      <c r="H154" t="str">
        <f t="shared" si="6"/>
        <v>OK</v>
      </c>
      <c r="I154" t="str">
        <f t="shared" si="7"/>
        <v>OK</v>
      </c>
      <c r="J154" t="str">
        <f t="shared" si="8"/>
        <v>OK</v>
      </c>
    </row>
    <row r="155" spans="1:10">
      <c r="A155">
        <v>2169</v>
      </c>
      <c r="B155">
        <v>1108</v>
      </c>
      <c r="C155" t="s">
        <v>516</v>
      </c>
      <c r="D155" s="2">
        <v>47850.78849738244</v>
      </c>
      <c r="E155" t="s">
        <v>789</v>
      </c>
      <c r="H155" t="str">
        <f t="shared" si="6"/>
        <v>OK</v>
      </c>
      <c r="I155" t="str">
        <f t="shared" si="7"/>
        <v>OK</v>
      </c>
      <c r="J155" t="str">
        <f t="shared" si="8"/>
        <v>OK</v>
      </c>
    </row>
    <row r="156" spans="1:10">
      <c r="A156">
        <v>2170</v>
      </c>
      <c r="B156">
        <v>1109</v>
      </c>
      <c r="C156" t="s">
        <v>517</v>
      </c>
      <c r="D156" s="2">
        <v>46390.788497383197</v>
      </c>
      <c r="E156" t="s">
        <v>790</v>
      </c>
      <c r="H156" t="str">
        <f t="shared" si="6"/>
        <v>OK</v>
      </c>
      <c r="I156" t="str">
        <f t="shared" si="7"/>
        <v>OK</v>
      </c>
      <c r="J156" t="str">
        <f t="shared" si="8"/>
        <v>OK</v>
      </c>
    </row>
    <row r="157" spans="1:10">
      <c r="A157">
        <v>2171</v>
      </c>
      <c r="B157">
        <v>1110</v>
      </c>
      <c r="C157" t="s">
        <v>518</v>
      </c>
      <c r="D157" s="2">
        <v>47850.788497383968</v>
      </c>
      <c r="E157" t="s">
        <v>791</v>
      </c>
      <c r="H157" t="str">
        <f t="shared" si="6"/>
        <v>OK</v>
      </c>
      <c r="I157" t="str">
        <f t="shared" si="7"/>
        <v>OK</v>
      </c>
      <c r="J157" t="str">
        <f t="shared" si="8"/>
        <v>OK</v>
      </c>
    </row>
    <row r="158" spans="1:10">
      <c r="A158">
        <v>2172</v>
      </c>
      <c r="B158">
        <v>1110</v>
      </c>
      <c r="C158" t="s">
        <v>519</v>
      </c>
      <c r="D158" s="2">
        <v>47485.788497384703</v>
      </c>
      <c r="E158" t="s">
        <v>792</v>
      </c>
      <c r="H158" t="str">
        <f t="shared" si="6"/>
        <v>OK</v>
      </c>
      <c r="I158" t="str">
        <f t="shared" si="7"/>
        <v>OK</v>
      </c>
      <c r="J158" t="str">
        <f t="shared" si="8"/>
        <v>OK</v>
      </c>
    </row>
    <row r="159" spans="1:10">
      <c r="A159">
        <v>2173</v>
      </c>
      <c r="B159">
        <v>1111</v>
      </c>
      <c r="C159" t="s">
        <v>520</v>
      </c>
      <c r="D159" s="2">
        <v>46390.788497385453</v>
      </c>
      <c r="E159" t="s">
        <v>793</v>
      </c>
      <c r="H159" t="str">
        <f t="shared" si="6"/>
        <v>OK</v>
      </c>
      <c r="I159" t="str">
        <f t="shared" si="7"/>
        <v>OK</v>
      </c>
      <c r="J159" t="str">
        <f t="shared" si="8"/>
        <v>OK</v>
      </c>
    </row>
    <row r="160" spans="1:10">
      <c r="A160">
        <v>2174</v>
      </c>
      <c r="B160">
        <v>1112</v>
      </c>
      <c r="C160" t="s">
        <v>521</v>
      </c>
      <c r="D160" s="2">
        <v>47120.788497386398</v>
      </c>
      <c r="E160" t="s">
        <v>701</v>
      </c>
      <c r="H160" t="str">
        <f t="shared" si="6"/>
        <v>OK</v>
      </c>
      <c r="I160" t="str">
        <f t="shared" si="7"/>
        <v>OK</v>
      </c>
      <c r="J160" t="str">
        <f t="shared" si="8"/>
        <v>OK</v>
      </c>
    </row>
    <row r="161" spans="1:10">
      <c r="A161">
        <v>2175</v>
      </c>
      <c r="B161">
        <v>1113</v>
      </c>
      <c r="C161" t="s">
        <v>522</v>
      </c>
      <c r="D161" s="2">
        <v>47485.788497387162</v>
      </c>
      <c r="E161" t="s">
        <v>794</v>
      </c>
      <c r="H161" t="str">
        <f t="shared" si="6"/>
        <v>OK</v>
      </c>
      <c r="I161" t="str">
        <f t="shared" si="7"/>
        <v>OK</v>
      </c>
      <c r="J161" t="str">
        <f t="shared" si="8"/>
        <v>OK</v>
      </c>
    </row>
    <row r="162" spans="1:10">
      <c r="A162">
        <v>2176</v>
      </c>
      <c r="B162">
        <v>1113</v>
      </c>
      <c r="C162" t="s">
        <v>523</v>
      </c>
      <c r="D162" s="2">
        <v>47485.788497388057</v>
      </c>
      <c r="E162" t="s">
        <v>795</v>
      </c>
      <c r="H162" t="str">
        <f t="shared" si="6"/>
        <v>OK</v>
      </c>
      <c r="I162" t="str">
        <f t="shared" si="7"/>
        <v>OK</v>
      </c>
      <c r="J162" t="str">
        <f t="shared" si="8"/>
        <v>OK</v>
      </c>
    </row>
    <row r="163" spans="1:10">
      <c r="A163">
        <v>2177</v>
      </c>
      <c r="B163">
        <v>1114</v>
      </c>
      <c r="C163" t="s">
        <v>524</v>
      </c>
      <c r="D163" s="2">
        <v>47120.788497388843</v>
      </c>
      <c r="E163" t="s">
        <v>796</v>
      </c>
      <c r="H163" t="str">
        <f t="shared" si="6"/>
        <v>OK</v>
      </c>
      <c r="I163" t="str">
        <f t="shared" si="7"/>
        <v>OK</v>
      </c>
      <c r="J163" t="str">
        <f t="shared" si="8"/>
        <v>OK</v>
      </c>
    </row>
    <row r="164" spans="1:10">
      <c r="A164">
        <v>2178</v>
      </c>
      <c r="B164">
        <v>1115</v>
      </c>
      <c r="C164" t="s">
        <v>525</v>
      </c>
      <c r="D164" s="2">
        <v>47485.788497389607</v>
      </c>
      <c r="E164" t="s">
        <v>797</v>
      </c>
      <c r="H164" t="str">
        <f t="shared" si="6"/>
        <v>OK</v>
      </c>
      <c r="I164" t="str">
        <f t="shared" si="7"/>
        <v>OK</v>
      </c>
      <c r="J164" t="str">
        <f t="shared" si="8"/>
        <v>OK</v>
      </c>
    </row>
    <row r="165" spans="1:10">
      <c r="A165">
        <v>2179</v>
      </c>
      <c r="B165">
        <v>1116</v>
      </c>
      <c r="C165" t="s">
        <v>526</v>
      </c>
      <c r="D165" s="2">
        <v>46390.788497390356</v>
      </c>
      <c r="E165" t="s">
        <v>798</v>
      </c>
      <c r="H165" t="str">
        <f t="shared" si="6"/>
        <v>OK</v>
      </c>
      <c r="I165" t="str">
        <f t="shared" si="7"/>
        <v>OK</v>
      </c>
      <c r="J165" t="str">
        <f t="shared" si="8"/>
        <v>OK</v>
      </c>
    </row>
    <row r="166" spans="1:10">
      <c r="A166">
        <v>2180</v>
      </c>
      <c r="B166">
        <v>1116</v>
      </c>
      <c r="C166" t="s">
        <v>527</v>
      </c>
      <c r="D166" s="2">
        <v>47485.788497391142</v>
      </c>
      <c r="E166" t="s">
        <v>799</v>
      </c>
      <c r="H166" t="str">
        <f t="shared" si="6"/>
        <v>OK</v>
      </c>
      <c r="I166" t="str">
        <f t="shared" si="7"/>
        <v>OK</v>
      </c>
      <c r="J166" t="str">
        <f t="shared" si="8"/>
        <v>OK</v>
      </c>
    </row>
    <row r="167" spans="1:10">
      <c r="A167">
        <v>2181</v>
      </c>
      <c r="B167">
        <v>1117</v>
      </c>
      <c r="C167" t="s">
        <v>528</v>
      </c>
      <c r="D167" s="2">
        <v>47485.788497391979</v>
      </c>
      <c r="E167" t="s">
        <v>800</v>
      </c>
      <c r="H167" t="str">
        <f t="shared" si="6"/>
        <v>OK</v>
      </c>
      <c r="I167" t="str">
        <f t="shared" si="7"/>
        <v>OK</v>
      </c>
      <c r="J167" t="str">
        <f t="shared" si="8"/>
        <v>OK</v>
      </c>
    </row>
    <row r="168" spans="1:10">
      <c r="A168">
        <v>2182</v>
      </c>
      <c r="B168">
        <v>1118</v>
      </c>
      <c r="C168" t="s">
        <v>529</v>
      </c>
      <c r="D168" s="2">
        <v>46755.788497392743</v>
      </c>
      <c r="E168" t="s">
        <v>801</v>
      </c>
      <c r="H168" t="str">
        <f t="shared" si="6"/>
        <v>OK</v>
      </c>
      <c r="I168" t="str">
        <f t="shared" si="7"/>
        <v>OK</v>
      </c>
      <c r="J168" t="str">
        <f t="shared" si="8"/>
        <v>OK</v>
      </c>
    </row>
    <row r="169" spans="1:10">
      <c r="A169">
        <v>2183</v>
      </c>
      <c r="B169">
        <v>1119</v>
      </c>
      <c r="C169" t="s">
        <v>530</v>
      </c>
      <c r="D169" s="2">
        <v>47850.788497393507</v>
      </c>
      <c r="E169" t="s">
        <v>802</v>
      </c>
      <c r="H169" t="str">
        <f t="shared" si="6"/>
        <v>OK</v>
      </c>
      <c r="I169" t="str">
        <f t="shared" si="7"/>
        <v>OK</v>
      </c>
      <c r="J169" t="str">
        <f t="shared" si="8"/>
        <v>OK</v>
      </c>
    </row>
    <row r="170" spans="1:10">
      <c r="A170">
        <v>2184</v>
      </c>
      <c r="B170">
        <v>1119</v>
      </c>
      <c r="C170" t="s">
        <v>531</v>
      </c>
      <c r="D170" s="2">
        <v>47120.788497394227</v>
      </c>
      <c r="E170" t="s">
        <v>803</v>
      </c>
      <c r="H170" t="str">
        <f t="shared" si="6"/>
        <v>OK</v>
      </c>
      <c r="I170" t="str">
        <f t="shared" si="7"/>
        <v>OK</v>
      </c>
      <c r="J170" t="str">
        <f t="shared" si="8"/>
        <v>OK</v>
      </c>
    </row>
    <row r="171" spans="1:10">
      <c r="A171">
        <v>2185</v>
      </c>
      <c r="B171">
        <v>1120</v>
      </c>
      <c r="C171" t="s">
        <v>532</v>
      </c>
      <c r="D171" s="2">
        <v>47120.788497394991</v>
      </c>
      <c r="E171" t="s">
        <v>804</v>
      </c>
      <c r="H171" t="str">
        <f t="shared" si="6"/>
        <v>OK</v>
      </c>
      <c r="I171" t="str">
        <f t="shared" si="7"/>
        <v>OK</v>
      </c>
      <c r="J171" t="str">
        <f t="shared" si="8"/>
        <v>OK</v>
      </c>
    </row>
    <row r="172" spans="1:10">
      <c r="A172">
        <v>2186</v>
      </c>
      <c r="B172">
        <v>1120</v>
      </c>
      <c r="C172" t="s">
        <v>533</v>
      </c>
      <c r="D172" s="2">
        <v>46390.788497395821</v>
      </c>
      <c r="E172" t="s">
        <v>805</v>
      </c>
      <c r="H172" t="str">
        <f t="shared" si="6"/>
        <v>OK</v>
      </c>
      <c r="I172" t="str">
        <f t="shared" si="7"/>
        <v>OK</v>
      </c>
      <c r="J172" t="str">
        <f t="shared" si="8"/>
        <v>OK</v>
      </c>
    </row>
    <row r="173" spans="1:10">
      <c r="A173">
        <v>2187</v>
      </c>
      <c r="B173">
        <v>1121</v>
      </c>
      <c r="C173" t="s">
        <v>534</v>
      </c>
      <c r="D173" s="2">
        <v>46755.788497396577</v>
      </c>
      <c r="E173" t="s">
        <v>806</v>
      </c>
      <c r="H173" t="str">
        <f t="shared" si="6"/>
        <v>OK</v>
      </c>
      <c r="I173" t="str">
        <f t="shared" si="7"/>
        <v>OK</v>
      </c>
      <c r="J173" t="str">
        <f t="shared" si="8"/>
        <v>OK</v>
      </c>
    </row>
    <row r="174" spans="1:10">
      <c r="A174">
        <v>2188</v>
      </c>
      <c r="B174">
        <v>1122</v>
      </c>
      <c r="C174" t="s">
        <v>535</v>
      </c>
      <c r="D174" s="2">
        <v>47850.78849739748</v>
      </c>
      <c r="E174" t="s">
        <v>807</v>
      </c>
      <c r="H174" t="str">
        <f t="shared" si="6"/>
        <v>OK</v>
      </c>
      <c r="I174" t="str">
        <f t="shared" si="7"/>
        <v>OK</v>
      </c>
      <c r="J174" t="str">
        <f t="shared" si="8"/>
        <v>OK</v>
      </c>
    </row>
    <row r="175" spans="1:10">
      <c r="A175">
        <v>2189</v>
      </c>
      <c r="B175">
        <v>1123</v>
      </c>
      <c r="C175" t="s">
        <v>536</v>
      </c>
      <c r="D175" s="2">
        <v>46755.788497398302</v>
      </c>
      <c r="E175" t="s">
        <v>808</v>
      </c>
      <c r="H175" t="str">
        <f t="shared" si="6"/>
        <v>OK</v>
      </c>
      <c r="I175" t="str">
        <f t="shared" si="7"/>
        <v>OK</v>
      </c>
      <c r="J175" t="str">
        <f t="shared" si="8"/>
        <v>OK</v>
      </c>
    </row>
    <row r="176" spans="1:10">
      <c r="A176">
        <v>2190</v>
      </c>
      <c r="B176">
        <v>1123</v>
      </c>
      <c r="C176" t="s">
        <v>537</v>
      </c>
      <c r="D176" s="2">
        <v>47850.788497399029</v>
      </c>
      <c r="E176" t="s">
        <v>809</v>
      </c>
      <c r="H176" t="str">
        <f t="shared" si="6"/>
        <v>OK</v>
      </c>
      <c r="I176" t="str">
        <f t="shared" si="7"/>
        <v>OK</v>
      </c>
      <c r="J176" t="str">
        <f t="shared" si="8"/>
        <v>OK</v>
      </c>
    </row>
    <row r="177" spans="1:10">
      <c r="A177">
        <v>2191</v>
      </c>
      <c r="B177">
        <v>1124</v>
      </c>
      <c r="C177" t="s">
        <v>538</v>
      </c>
      <c r="D177" s="2">
        <v>47485.788497399793</v>
      </c>
      <c r="E177" t="s">
        <v>810</v>
      </c>
      <c r="H177" t="str">
        <f t="shared" si="6"/>
        <v>OK</v>
      </c>
      <c r="I177" t="str">
        <f t="shared" si="7"/>
        <v>OK</v>
      </c>
      <c r="J177" t="str">
        <f t="shared" si="8"/>
        <v>OK</v>
      </c>
    </row>
    <row r="178" spans="1:10">
      <c r="A178">
        <v>2192</v>
      </c>
      <c r="B178">
        <v>1125</v>
      </c>
      <c r="C178" t="s">
        <v>539</v>
      </c>
      <c r="D178" s="2">
        <v>47485.788497400557</v>
      </c>
      <c r="E178" t="s">
        <v>811</v>
      </c>
      <c r="H178" t="str">
        <f t="shared" si="6"/>
        <v>OK</v>
      </c>
      <c r="I178" t="str">
        <f t="shared" si="7"/>
        <v>OK</v>
      </c>
      <c r="J178" t="str">
        <f t="shared" si="8"/>
        <v>OK</v>
      </c>
    </row>
    <row r="179" spans="1:10">
      <c r="A179">
        <v>2193</v>
      </c>
      <c r="B179">
        <v>1126</v>
      </c>
      <c r="C179" t="s">
        <v>540</v>
      </c>
      <c r="D179" s="2">
        <v>46390.788497401321</v>
      </c>
      <c r="E179" t="s">
        <v>812</v>
      </c>
      <c r="H179" t="str">
        <f t="shared" si="6"/>
        <v>OK</v>
      </c>
      <c r="I179" t="str">
        <f t="shared" si="7"/>
        <v>OK</v>
      </c>
      <c r="J179" t="str">
        <f t="shared" si="8"/>
        <v>OK</v>
      </c>
    </row>
    <row r="180" spans="1:10">
      <c r="A180">
        <v>2194</v>
      </c>
      <c r="B180">
        <v>1126</v>
      </c>
      <c r="C180" t="s">
        <v>541</v>
      </c>
      <c r="D180" s="2">
        <v>47120.788497402049</v>
      </c>
      <c r="E180" t="s">
        <v>813</v>
      </c>
      <c r="H180" t="str">
        <f t="shared" si="6"/>
        <v>OK</v>
      </c>
      <c r="I180" t="str">
        <f t="shared" si="7"/>
        <v>OK</v>
      </c>
      <c r="J180" t="str">
        <f t="shared" si="8"/>
        <v>OK</v>
      </c>
    </row>
    <row r="181" spans="1:10">
      <c r="A181">
        <v>2195</v>
      </c>
      <c r="B181">
        <v>1127</v>
      </c>
      <c r="C181" t="s">
        <v>542</v>
      </c>
      <c r="D181" s="2">
        <v>46755.788497402798</v>
      </c>
      <c r="E181" t="s">
        <v>814</v>
      </c>
      <c r="H181" t="str">
        <f t="shared" si="6"/>
        <v>OK</v>
      </c>
      <c r="I181" t="str">
        <f t="shared" si="7"/>
        <v>OK</v>
      </c>
      <c r="J181" t="str">
        <f t="shared" si="8"/>
        <v>OK</v>
      </c>
    </row>
    <row r="182" spans="1:10">
      <c r="A182">
        <v>2196</v>
      </c>
      <c r="B182">
        <v>1128</v>
      </c>
      <c r="C182" t="s">
        <v>543</v>
      </c>
      <c r="D182" s="2">
        <v>47485.788497403562</v>
      </c>
      <c r="E182" t="s">
        <v>815</v>
      </c>
      <c r="H182" t="str">
        <f t="shared" si="6"/>
        <v>OK</v>
      </c>
      <c r="I182" t="str">
        <f t="shared" si="7"/>
        <v>OK</v>
      </c>
      <c r="J182" t="str">
        <f t="shared" si="8"/>
        <v>OK</v>
      </c>
    </row>
    <row r="183" spans="1:10">
      <c r="A183">
        <v>2197</v>
      </c>
      <c r="B183">
        <v>1129</v>
      </c>
      <c r="C183" t="s">
        <v>544</v>
      </c>
      <c r="D183" s="2">
        <v>47485.788497404334</v>
      </c>
      <c r="E183" t="s">
        <v>816</v>
      </c>
      <c r="H183" t="str">
        <f t="shared" si="6"/>
        <v>OK</v>
      </c>
      <c r="I183" t="str">
        <f t="shared" si="7"/>
        <v>OK</v>
      </c>
      <c r="J183" t="str">
        <f t="shared" si="8"/>
        <v>OK</v>
      </c>
    </row>
    <row r="184" spans="1:10">
      <c r="A184">
        <v>2198</v>
      </c>
      <c r="B184">
        <v>1129</v>
      </c>
      <c r="C184" t="s">
        <v>545</v>
      </c>
      <c r="D184" s="2">
        <v>47485.788497405061</v>
      </c>
      <c r="E184" t="s">
        <v>767</v>
      </c>
      <c r="H184" t="str">
        <f t="shared" si="6"/>
        <v>OK</v>
      </c>
      <c r="I184" t="str">
        <f t="shared" si="7"/>
        <v>OK</v>
      </c>
      <c r="J184" t="str">
        <f t="shared" si="8"/>
        <v>OK</v>
      </c>
    </row>
    <row r="185" spans="1:10">
      <c r="A185">
        <v>2199</v>
      </c>
      <c r="B185">
        <v>1130</v>
      </c>
      <c r="C185" t="s">
        <v>546</v>
      </c>
      <c r="D185" s="2">
        <v>47485.788497405811</v>
      </c>
      <c r="E185" t="s">
        <v>817</v>
      </c>
      <c r="H185" t="str">
        <f t="shared" si="6"/>
        <v>OK</v>
      </c>
      <c r="I185" t="str">
        <f t="shared" si="7"/>
        <v>OK</v>
      </c>
      <c r="J185" t="str">
        <f t="shared" si="8"/>
        <v>OK</v>
      </c>
    </row>
    <row r="186" spans="1:10">
      <c r="A186">
        <v>2200</v>
      </c>
      <c r="B186">
        <v>1130</v>
      </c>
      <c r="C186" t="s">
        <v>547</v>
      </c>
      <c r="D186" s="2">
        <v>47850.788497406538</v>
      </c>
      <c r="E186" t="s">
        <v>818</v>
      </c>
      <c r="H186" t="str">
        <f t="shared" si="6"/>
        <v>OK</v>
      </c>
      <c r="I186" t="str">
        <f t="shared" si="7"/>
        <v>OK</v>
      </c>
      <c r="J186" t="str">
        <f t="shared" si="8"/>
        <v>OK</v>
      </c>
    </row>
    <row r="187" spans="1:10">
      <c r="A187">
        <v>2201</v>
      </c>
      <c r="B187">
        <v>1131</v>
      </c>
      <c r="C187" t="s">
        <v>548</v>
      </c>
      <c r="D187" s="2">
        <v>47485.788497407288</v>
      </c>
      <c r="E187" t="s">
        <v>819</v>
      </c>
      <c r="H187" t="str">
        <f t="shared" si="6"/>
        <v>OK</v>
      </c>
      <c r="I187" t="str">
        <f t="shared" si="7"/>
        <v>OK</v>
      </c>
      <c r="J187" t="str">
        <f t="shared" si="8"/>
        <v>OK</v>
      </c>
    </row>
    <row r="188" spans="1:10">
      <c r="A188">
        <v>2202</v>
      </c>
      <c r="B188">
        <v>1131</v>
      </c>
      <c r="C188" t="s">
        <v>549</v>
      </c>
      <c r="D188" s="2">
        <v>47120.788497408037</v>
      </c>
      <c r="E188" t="s">
        <v>820</v>
      </c>
      <c r="H188" t="str">
        <f t="shared" si="6"/>
        <v>OK</v>
      </c>
      <c r="I188" t="str">
        <f t="shared" si="7"/>
        <v>OK</v>
      </c>
      <c r="J188" t="str">
        <f t="shared" si="8"/>
        <v>OK</v>
      </c>
    </row>
    <row r="189" spans="1:10">
      <c r="A189">
        <v>2203</v>
      </c>
      <c r="B189">
        <v>1132</v>
      </c>
      <c r="C189" t="s">
        <v>550</v>
      </c>
      <c r="D189" s="2">
        <v>47850.788497408786</v>
      </c>
      <c r="E189" t="s">
        <v>821</v>
      </c>
      <c r="H189" t="str">
        <f t="shared" si="6"/>
        <v>OK</v>
      </c>
      <c r="I189" t="str">
        <f t="shared" si="7"/>
        <v>OK</v>
      </c>
      <c r="J189" t="str">
        <f t="shared" si="8"/>
        <v>OK</v>
      </c>
    </row>
    <row r="190" spans="1:10">
      <c r="A190">
        <v>2204</v>
      </c>
      <c r="B190">
        <v>1132</v>
      </c>
      <c r="C190" t="s">
        <v>551</v>
      </c>
      <c r="D190" s="2">
        <v>46755.788497409529</v>
      </c>
      <c r="E190" t="s">
        <v>822</v>
      </c>
      <c r="H190" t="str">
        <f t="shared" si="6"/>
        <v>OK</v>
      </c>
      <c r="I190" t="str">
        <f t="shared" si="7"/>
        <v>OK</v>
      </c>
      <c r="J190" t="str">
        <f t="shared" si="8"/>
        <v>OK</v>
      </c>
    </row>
    <row r="191" spans="1:10">
      <c r="A191">
        <v>2205</v>
      </c>
      <c r="B191">
        <v>1133</v>
      </c>
      <c r="C191" t="s">
        <v>552</v>
      </c>
      <c r="D191" s="2">
        <v>47850.788497410278</v>
      </c>
      <c r="E191" t="s">
        <v>823</v>
      </c>
      <c r="H191" t="str">
        <f t="shared" si="6"/>
        <v>OK</v>
      </c>
      <c r="I191" t="str">
        <f t="shared" si="7"/>
        <v>OK</v>
      </c>
      <c r="J191" t="str">
        <f t="shared" si="8"/>
        <v>OK</v>
      </c>
    </row>
    <row r="192" spans="1:10">
      <c r="A192">
        <v>2206</v>
      </c>
      <c r="B192">
        <v>1133</v>
      </c>
      <c r="C192" t="s">
        <v>553</v>
      </c>
      <c r="D192" s="2">
        <v>47120.788497411013</v>
      </c>
      <c r="E192" t="s">
        <v>824</v>
      </c>
      <c r="H192" t="str">
        <f t="shared" si="6"/>
        <v>OK</v>
      </c>
      <c r="I192" t="str">
        <f t="shared" si="7"/>
        <v>OK</v>
      </c>
      <c r="J192" t="str">
        <f t="shared" si="8"/>
        <v>OK</v>
      </c>
    </row>
    <row r="193" spans="1:10">
      <c r="A193">
        <v>2207</v>
      </c>
      <c r="B193">
        <v>1134</v>
      </c>
      <c r="C193" t="s">
        <v>554</v>
      </c>
      <c r="D193" s="2">
        <v>46755.788497411762</v>
      </c>
      <c r="E193" t="s">
        <v>825</v>
      </c>
      <c r="H193" t="str">
        <f t="shared" si="6"/>
        <v>OK</v>
      </c>
      <c r="I193" t="str">
        <f t="shared" si="7"/>
        <v>OK</v>
      </c>
      <c r="J193" t="str">
        <f t="shared" si="8"/>
        <v>OK</v>
      </c>
    </row>
    <row r="194" spans="1:10">
      <c r="A194">
        <v>2208</v>
      </c>
      <c r="B194">
        <v>1135</v>
      </c>
      <c r="C194" t="s">
        <v>555</v>
      </c>
      <c r="D194" s="2">
        <v>47850.788497412534</v>
      </c>
      <c r="E194" t="s">
        <v>826</v>
      </c>
      <c r="H194" t="str">
        <f t="shared" si="6"/>
        <v>OK</v>
      </c>
      <c r="I194" t="str">
        <f t="shared" si="7"/>
        <v>OK</v>
      </c>
      <c r="J194" t="str">
        <f t="shared" si="8"/>
        <v>OK</v>
      </c>
    </row>
    <row r="195" spans="1:10">
      <c r="A195">
        <v>2209</v>
      </c>
      <c r="B195">
        <v>1136</v>
      </c>
      <c r="C195" t="s">
        <v>556</v>
      </c>
      <c r="D195" s="2">
        <v>47120.78849741329</v>
      </c>
      <c r="E195" t="s">
        <v>827</v>
      </c>
      <c r="H195" t="str">
        <f t="shared" ref="H195:H258" si="9">IF(ISBLANK(E195),"Lipsă","OK")</f>
        <v>OK</v>
      </c>
      <c r="I195" t="str">
        <f t="shared" ref="I195:I258" si="10">IF(LEN(C195)=16,"OK","Invalid")</f>
        <v>OK</v>
      </c>
      <c r="J195" t="str">
        <f t="shared" ref="J195:J258" si="11">IF(LEN(E195)=3,"OK","Invalid")</f>
        <v>OK</v>
      </c>
    </row>
    <row r="196" spans="1:10">
      <c r="A196">
        <v>2210</v>
      </c>
      <c r="B196">
        <v>1137</v>
      </c>
      <c r="C196" t="s">
        <v>557</v>
      </c>
      <c r="D196" s="2">
        <v>46755.788497414258</v>
      </c>
      <c r="E196" t="s">
        <v>828</v>
      </c>
      <c r="H196" t="str">
        <f t="shared" si="9"/>
        <v>OK</v>
      </c>
      <c r="I196" t="str">
        <f t="shared" si="10"/>
        <v>OK</v>
      </c>
      <c r="J196" t="str">
        <f t="shared" si="11"/>
        <v>OK</v>
      </c>
    </row>
    <row r="197" spans="1:10">
      <c r="A197">
        <v>2211</v>
      </c>
      <c r="B197">
        <v>1137</v>
      </c>
      <c r="C197" t="s">
        <v>558</v>
      </c>
      <c r="D197" s="2">
        <v>47850.788497415517</v>
      </c>
      <c r="E197" t="s">
        <v>829</v>
      </c>
      <c r="H197" t="str">
        <f t="shared" si="9"/>
        <v>OK</v>
      </c>
      <c r="I197" t="str">
        <f t="shared" si="10"/>
        <v>OK</v>
      </c>
      <c r="J197" t="str">
        <f t="shared" si="11"/>
        <v>OK</v>
      </c>
    </row>
    <row r="198" spans="1:10">
      <c r="A198">
        <v>2212</v>
      </c>
      <c r="B198">
        <v>1138</v>
      </c>
      <c r="C198" t="s">
        <v>559</v>
      </c>
      <c r="D198" s="2">
        <v>46755.788497416877</v>
      </c>
      <c r="E198" t="s">
        <v>830</v>
      </c>
      <c r="H198" t="str">
        <f t="shared" si="9"/>
        <v>OK</v>
      </c>
      <c r="I198" t="str">
        <f t="shared" si="10"/>
        <v>OK</v>
      </c>
      <c r="J198" t="str">
        <f t="shared" si="11"/>
        <v>OK</v>
      </c>
    </row>
    <row r="199" spans="1:10">
      <c r="A199">
        <v>2213</v>
      </c>
      <c r="B199">
        <v>1139</v>
      </c>
      <c r="C199" t="s">
        <v>560</v>
      </c>
      <c r="D199" s="2">
        <v>47485.788497418187</v>
      </c>
      <c r="E199" t="s">
        <v>831</v>
      </c>
      <c r="H199" t="str">
        <f t="shared" si="9"/>
        <v>OK</v>
      </c>
      <c r="I199" t="str">
        <f t="shared" si="10"/>
        <v>OK</v>
      </c>
      <c r="J199" t="str">
        <f t="shared" si="11"/>
        <v>OK</v>
      </c>
    </row>
    <row r="200" spans="1:10">
      <c r="A200">
        <v>2214</v>
      </c>
      <c r="B200">
        <v>1139</v>
      </c>
      <c r="C200" t="s">
        <v>561</v>
      </c>
      <c r="D200" s="2">
        <v>46390.788497419089</v>
      </c>
      <c r="E200" t="s">
        <v>832</v>
      </c>
      <c r="H200" t="str">
        <f t="shared" si="9"/>
        <v>OK</v>
      </c>
      <c r="I200" t="str">
        <f t="shared" si="10"/>
        <v>OK</v>
      </c>
      <c r="J200" t="str">
        <f t="shared" si="11"/>
        <v>OK</v>
      </c>
    </row>
    <row r="201" spans="1:10">
      <c r="A201">
        <v>2215</v>
      </c>
      <c r="B201">
        <v>1140</v>
      </c>
      <c r="C201" t="s">
        <v>562</v>
      </c>
      <c r="D201" s="2">
        <v>47120.788497419991</v>
      </c>
      <c r="E201" t="s">
        <v>833</v>
      </c>
      <c r="H201" t="str">
        <f t="shared" si="9"/>
        <v>OK</v>
      </c>
      <c r="I201" t="str">
        <f t="shared" si="10"/>
        <v>OK</v>
      </c>
      <c r="J201" t="str">
        <f t="shared" si="11"/>
        <v>OK</v>
      </c>
    </row>
    <row r="202" spans="1:10">
      <c r="A202">
        <v>2216</v>
      </c>
      <c r="B202">
        <v>1141</v>
      </c>
      <c r="C202" t="s">
        <v>563</v>
      </c>
      <c r="D202" s="2">
        <v>46755.788497420763</v>
      </c>
      <c r="E202" t="s">
        <v>834</v>
      </c>
      <c r="H202" t="str">
        <f t="shared" si="9"/>
        <v>OK</v>
      </c>
      <c r="I202" t="str">
        <f t="shared" si="10"/>
        <v>OK</v>
      </c>
      <c r="J202" t="str">
        <f t="shared" si="11"/>
        <v>OK</v>
      </c>
    </row>
    <row r="203" spans="1:10">
      <c r="A203">
        <v>2217</v>
      </c>
      <c r="B203">
        <v>1141</v>
      </c>
      <c r="C203" t="s">
        <v>564</v>
      </c>
      <c r="D203" s="2">
        <v>47120.78849742149</v>
      </c>
      <c r="E203" t="s">
        <v>806</v>
      </c>
      <c r="H203" t="str">
        <f t="shared" si="9"/>
        <v>OK</v>
      </c>
      <c r="I203" t="str">
        <f t="shared" si="10"/>
        <v>OK</v>
      </c>
      <c r="J203" t="str">
        <f t="shared" si="11"/>
        <v>OK</v>
      </c>
    </row>
    <row r="204" spans="1:10">
      <c r="A204">
        <v>2218</v>
      </c>
      <c r="B204">
        <v>1142</v>
      </c>
      <c r="C204" t="s">
        <v>565</v>
      </c>
      <c r="D204" s="2">
        <v>47850.788497422247</v>
      </c>
      <c r="E204" t="s">
        <v>835</v>
      </c>
      <c r="H204" t="str">
        <f t="shared" si="9"/>
        <v>OK</v>
      </c>
      <c r="I204" t="str">
        <f t="shared" si="10"/>
        <v>OK</v>
      </c>
      <c r="J204" t="str">
        <f t="shared" si="11"/>
        <v>OK</v>
      </c>
    </row>
    <row r="205" spans="1:10">
      <c r="A205">
        <v>2219</v>
      </c>
      <c r="B205">
        <v>1142</v>
      </c>
      <c r="C205" t="s">
        <v>566</v>
      </c>
      <c r="D205" s="2">
        <v>47850.788497422967</v>
      </c>
      <c r="E205" t="s">
        <v>836</v>
      </c>
      <c r="H205" t="str">
        <f t="shared" si="9"/>
        <v>OK</v>
      </c>
      <c r="I205" t="str">
        <f t="shared" si="10"/>
        <v>OK</v>
      </c>
      <c r="J205" t="str">
        <f t="shared" si="11"/>
        <v>OK</v>
      </c>
    </row>
    <row r="206" spans="1:10">
      <c r="A206">
        <v>2220</v>
      </c>
      <c r="B206">
        <v>1143</v>
      </c>
      <c r="C206" t="s">
        <v>567</v>
      </c>
      <c r="D206" s="2">
        <v>46755.788497423717</v>
      </c>
      <c r="E206" t="s">
        <v>837</v>
      </c>
      <c r="H206" t="str">
        <f t="shared" si="9"/>
        <v>OK</v>
      </c>
      <c r="I206" t="str">
        <f t="shared" si="10"/>
        <v>OK</v>
      </c>
      <c r="J206" t="str">
        <f t="shared" si="11"/>
        <v>OK</v>
      </c>
    </row>
    <row r="207" spans="1:10">
      <c r="A207">
        <v>2221</v>
      </c>
      <c r="B207">
        <v>1144</v>
      </c>
      <c r="C207" t="s">
        <v>568</v>
      </c>
      <c r="D207" s="2">
        <v>46755.788497424488</v>
      </c>
      <c r="E207" t="s">
        <v>838</v>
      </c>
      <c r="H207" t="str">
        <f t="shared" si="9"/>
        <v>OK</v>
      </c>
      <c r="I207" t="str">
        <f t="shared" si="10"/>
        <v>OK</v>
      </c>
      <c r="J207" t="str">
        <f t="shared" si="11"/>
        <v>OK</v>
      </c>
    </row>
    <row r="208" spans="1:10">
      <c r="A208">
        <v>2222</v>
      </c>
      <c r="B208">
        <v>1145</v>
      </c>
      <c r="C208" t="s">
        <v>569</v>
      </c>
      <c r="D208" s="2">
        <v>46390.788497425237</v>
      </c>
      <c r="E208" t="s">
        <v>768</v>
      </c>
      <c r="H208" t="str">
        <f t="shared" si="9"/>
        <v>OK</v>
      </c>
      <c r="I208" t="str">
        <f t="shared" si="10"/>
        <v>OK</v>
      </c>
      <c r="J208" t="str">
        <f t="shared" si="11"/>
        <v>OK</v>
      </c>
    </row>
    <row r="209" spans="1:10">
      <c r="A209">
        <v>2223</v>
      </c>
      <c r="B209">
        <v>1145</v>
      </c>
      <c r="C209" t="s">
        <v>570</v>
      </c>
      <c r="D209" s="2">
        <v>47485.788497425972</v>
      </c>
      <c r="E209" t="s">
        <v>797</v>
      </c>
      <c r="H209" t="str">
        <f t="shared" si="9"/>
        <v>OK</v>
      </c>
      <c r="I209" t="str">
        <f t="shared" si="10"/>
        <v>OK</v>
      </c>
      <c r="J209" t="str">
        <f t="shared" si="11"/>
        <v>OK</v>
      </c>
    </row>
    <row r="210" spans="1:10">
      <c r="A210">
        <v>2224</v>
      </c>
      <c r="B210">
        <v>1146</v>
      </c>
      <c r="C210" t="s">
        <v>571</v>
      </c>
      <c r="D210" s="2">
        <v>46390.788497426722</v>
      </c>
      <c r="E210" t="s">
        <v>741</v>
      </c>
      <c r="H210" t="str">
        <f t="shared" si="9"/>
        <v>OK</v>
      </c>
      <c r="I210" t="str">
        <f t="shared" si="10"/>
        <v>OK</v>
      </c>
      <c r="J210" t="str">
        <f t="shared" si="11"/>
        <v>OK</v>
      </c>
    </row>
    <row r="211" spans="1:10">
      <c r="A211">
        <v>2225</v>
      </c>
      <c r="B211">
        <v>1146</v>
      </c>
      <c r="C211" t="s">
        <v>572</v>
      </c>
      <c r="D211" s="2">
        <v>47120.788497427457</v>
      </c>
      <c r="E211" t="s">
        <v>839</v>
      </c>
      <c r="H211" t="str">
        <f t="shared" si="9"/>
        <v>OK</v>
      </c>
      <c r="I211" t="str">
        <f t="shared" si="10"/>
        <v>OK</v>
      </c>
      <c r="J211" t="str">
        <f t="shared" si="11"/>
        <v>OK</v>
      </c>
    </row>
    <row r="212" spans="1:10">
      <c r="A212">
        <v>2226</v>
      </c>
      <c r="B212">
        <v>1147</v>
      </c>
      <c r="C212" t="s">
        <v>573</v>
      </c>
      <c r="D212" s="2">
        <v>47485.788497428213</v>
      </c>
      <c r="E212" t="s">
        <v>840</v>
      </c>
      <c r="H212" t="str">
        <f t="shared" si="9"/>
        <v>OK</v>
      </c>
      <c r="I212" t="str">
        <f t="shared" si="10"/>
        <v>OK</v>
      </c>
      <c r="J212" t="str">
        <f t="shared" si="11"/>
        <v>OK</v>
      </c>
    </row>
    <row r="213" spans="1:10">
      <c r="A213">
        <v>2227</v>
      </c>
      <c r="B213">
        <v>1148</v>
      </c>
      <c r="C213" t="s">
        <v>574</v>
      </c>
      <c r="D213" s="2">
        <v>47850.788497428963</v>
      </c>
      <c r="E213" t="s">
        <v>841</v>
      </c>
      <c r="H213" t="str">
        <f t="shared" si="9"/>
        <v>OK</v>
      </c>
      <c r="I213" t="str">
        <f t="shared" si="10"/>
        <v>OK</v>
      </c>
      <c r="J213" t="str">
        <f t="shared" si="11"/>
        <v>OK</v>
      </c>
    </row>
    <row r="214" spans="1:10">
      <c r="A214">
        <v>2228</v>
      </c>
      <c r="B214">
        <v>1149</v>
      </c>
      <c r="C214" t="s">
        <v>575</v>
      </c>
      <c r="D214" s="2">
        <v>46390.788497429712</v>
      </c>
      <c r="E214" t="s">
        <v>842</v>
      </c>
      <c r="H214" t="str">
        <f t="shared" si="9"/>
        <v>OK</v>
      </c>
      <c r="I214" t="str">
        <f t="shared" si="10"/>
        <v>OK</v>
      </c>
      <c r="J214" t="str">
        <f t="shared" si="11"/>
        <v>OK</v>
      </c>
    </row>
    <row r="215" spans="1:10">
      <c r="A215">
        <v>2229</v>
      </c>
      <c r="B215">
        <v>1150</v>
      </c>
      <c r="C215" t="s">
        <v>576</v>
      </c>
      <c r="D215" s="2">
        <v>46755.788497430462</v>
      </c>
      <c r="E215" t="s">
        <v>843</v>
      </c>
      <c r="H215" t="str">
        <f t="shared" si="9"/>
        <v>OK</v>
      </c>
      <c r="I215" t="str">
        <f t="shared" si="10"/>
        <v>OK</v>
      </c>
      <c r="J215" t="str">
        <f t="shared" si="11"/>
        <v>OK</v>
      </c>
    </row>
    <row r="216" spans="1:10">
      <c r="A216">
        <v>2230</v>
      </c>
      <c r="B216">
        <v>1150</v>
      </c>
      <c r="C216" t="s">
        <v>577</v>
      </c>
      <c r="D216" s="2">
        <v>46390.788497431182</v>
      </c>
      <c r="E216" t="s">
        <v>785</v>
      </c>
      <c r="H216" t="str">
        <f t="shared" si="9"/>
        <v>OK</v>
      </c>
      <c r="I216" t="str">
        <f t="shared" si="10"/>
        <v>OK</v>
      </c>
      <c r="J216" t="str">
        <f t="shared" si="11"/>
        <v>OK</v>
      </c>
    </row>
    <row r="217" spans="1:10">
      <c r="A217">
        <v>2231</v>
      </c>
      <c r="B217">
        <v>1151</v>
      </c>
      <c r="C217" t="s">
        <v>578</v>
      </c>
      <c r="D217" s="2">
        <v>46755.788497431953</v>
      </c>
      <c r="E217" t="s">
        <v>844</v>
      </c>
      <c r="H217" t="str">
        <f t="shared" si="9"/>
        <v>OK</v>
      </c>
      <c r="I217" t="str">
        <f t="shared" si="10"/>
        <v>OK</v>
      </c>
      <c r="J217" t="str">
        <f t="shared" si="11"/>
        <v>OK</v>
      </c>
    </row>
    <row r="218" spans="1:10">
      <c r="A218">
        <v>2232</v>
      </c>
      <c r="B218">
        <v>1151</v>
      </c>
      <c r="C218" t="s">
        <v>579</v>
      </c>
      <c r="D218" s="2">
        <v>47120.788497432848</v>
      </c>
      <c r="E218" t="s">
        <v>845</v>
      </c>
      <c r="H218" t="str">
        <f t="shared" si="9"/>
        <v>OK</v>
      </c>
      <c r="I218" t="str">
        <f t="shared" si="10"/>
        <v>OK</v>
      </c>
      <c r="J218" t="str">
        <f t="shared" si="11"/>
        <v>OK</v>
      </c>
    </row>
    <row r="219" spans="1:10">
      <c r="A219">
        <v>2233</v>
      </c>
      <c r="B219">
        <v>1152</v>
      </c>
      <c r="C219" t="s">
        <v>580</v>
      </c>
      <c r="D219" s="2">
        <v>47485.788497433867</v>
      </c>
      <c r="E219" t="s">
        <v>845</v>
      </c>
      <c r="H219" t="str">
        <f t="shared" si="9"/>
        <v>OK</v>
      </c>
      <c r="I219" t="str">
        <f t="shared" si="10"/>
        <v>OK</v>
      </c>
      <c r="J219" t="str">
        <f t="shared" si="11"/>
        <v>OK</v>
      </c>
    </row>
    <row r="220" spans="1:10">
      <c r="A220">
        <v>2234</v>
      </c>
      <c r="B220">
        <v>1153</v>
      </c>
      <c r="C220" t="s">
        <v>581</v>
      </c>
      <c r="D220" s="2">
        <v>47485.788497435336</v>
      </c>
      <c r="E220" t="s">
        <v>846</v>
      </c>
      <c r="H220" t="str">
        <f t="shared" si="9"/>
        <v>OK</v>
      </c>
      <c r="I220" t="str">
        <f t="shared" si="10"/>
        <v>OK</v>
      </c>
      <c r="J220" t="str">
        <f t="shared" si="11"/>
        <v>OK</v>
      </c>
    </row>
    <row r="221" spans="1:10">
      <c r="A221">
        <v>2235</v>
      </c>
      <c r="B221">
        <v>1154</v>
      </c>
      <c r="C221" t="s">
        <v>582</v>
      </c>
      <c r="D221" s="2">
        <v>47120.788497436508</v>
      </c>
      <c r="E221" t="s">
        <v>847</v>
      </c>
      <c r="H221" t="str">
        <f t="shared" si="9"/>
        <v>OK</v>
      </c>
      <c r="I221" t="str">
        <f t="shared" si="10"/>
        <v>OK</v>
      </c>
      <c r="J221" t="str">
        <f t="shared" si="11"/>
        <v>OK</v>
      </c>
    </row>
    <row r="222" spans="1:10">
      <c r="A222">
        <v>2236</v>
      </c>
      <c r="B222">
        <v>1155</v>
      </c>
      <c r="C222" t="s">
        <v>583</v>
      </c>
      <c r="D222" s="2">
        <v>47120.788497437468</v>
      </c>
      <c r="E222" t="s">
        <v>848</v>
      </c>
      <c r="H222" t="str">
        <f t="shared" si="9"/>
        <v>OK</v>
      </c>
      <c r="I222" t="str">
        <f t="shared" si="10"/>
        <v>OK</v>
      </c>
      <c r="J222" t="str">
        <f t="shared" si="11"/>
        <v>OK</v>
      </c>
    </row>
    <row r="223" spans="1:10">
      <c r="A223">
        <v>2237</v>
      </c>
      <c r="B223">
        <v>1155</v>
      </c>
      <c r="C223" t="s">
        <v>584</v>
      </c>
      <c r="D223" s="2">
        <v>46755.788497438451</v>
      </c>
      <c r="E223" t="s">
        <v>849</v>
      </c>
      <c r="H223" t="str">
        <f t="shared" si="9"/>
        <v>OK</v>
      </c>
      <c r="I223" t="str">
        <f t="shared" si="10"/>
        <v>OK</v>
      </c>
      <c r="J223" t="str">
        <f t="shared" si="11"/>
        <v>OK</v>
      </c>
    </row>
    <row r="224" spans="1:10">
      <c r="A224">
        <v>2238</v>
      </c>
      <c r="B224">
        <v>1156</v>
      </c>
      <c r="C224" t="s">
        <v>585</v>
      </c>
      <c r="D224" s="2">
        <v>47485.788497439782</v>
      </c>
      <c r="E224" t="s">
        <v>850</v>
      </c>
      <c r="H224" t="str">
        <f t="shared" si="9"/>
        <v>OK</v>
      </c>
      <c r="I224" t="str">
        <f t="shared" si="10"/>
        <v>OK</v>
      </c>
      <c r="J224" t="str">
        <f t="shared" si="11"/>
        <v>OK</v>
      </c>
    </row>
    <row r="225" spans="1:10">
      <c r="A225">
        <v>2239</v>
      </c>
      <c r="B225">
        <v>1157</v>
      </c>
      <c r="C225" t="s">
        <v>586</v>
      </c>
      <c r="D225" s="2">
        <v>47120.788497441172</v>
      </c>
      <c r="E225" t="s">
        <v>851</v>
      </c>
      <c r="H225" t="str">
        <f t="shared" si="9"/>
        <v>OK</v>
      </c>
      <c r="I225" t="str">
        <f t="shared" si="10"/>
        <v>OK</v>
      </c>
      <c r="J225" t="str">
        <f t="shared" si="11"/>
        <v>OK</v>
      </c>
    </row>
    <row r="226" spans="1:10">
      <c r="A226">
        <v>2240</v>
      </c>
      <c r="B226">
        <v>1158</v>
      </c>
      <c r="C226" t="s">
        <v>587</v>
      </c>
      <c r="D226" s="2">
        <v>46755.788497442212</v>
      </c>
      <c r="E226" t="s">
        <v>852</v>
      </c>
      <c r="H226" t="str">
        <f t="shared" si="9"/>
        <v>OK</v>
      </c>
      <c r="I226" t="str">
        <f t="shared" si="10"/>
        <v>OK</v>
      </c>
      <c r="J226" t="str">
        <f t="shared" si="11"/>
        <v>OK</v>
      </c>
    </row>
    <row r="227" spans="1:10">
      <c r="A227">
        <v>2241</v>
      </c>
      <c r="B227">
        <v>1159</v>
      </c>
      <c r="C227" t="s">
        <v>588</v>
      </c>
      <c r="D227" s="2">
        <v>47120.788497443573</v>
      </c>
      <c r="E227" t="s">
        <v>853</v>
      </c>
      <c r="H227" t="str">
        <f t="shared" si="9"/>
        <v>OK</v>
      </c>
      <c r="I227" t="str">
        <f t="shared" si="10"/>
        <v>OK</v>
      </c>
      <c r="J227" t="str">
        <f t="shared" si="11"/>
        <v>OK</v>
      </c>
    </row>
    <row r="228" spans="1:10">
      <c r="A228">
        <v>2242</v>
      </c>
      <c r="B228">
        <v>1159</v>
      </c>
      <c r="C228" t="s">
        <v>589</v>
      </c>
      <c r="D228" s="2">
        <v>47120.788497444613</v>
      </c>
      <c r="E228" t="s">
        <v>854</v>
      </c>
      <c r="H228" t="str">
        <f t="shared" si="9"/>
        <v>OK</v>
      </c>
      <c r="I228" t="str">
        <f t="shared" si="10"/>
        <v>OK</v>
      </c>
      <c r="J228" t="str">
        <f t="shared" si="11"/>
        <v>OK</v>
      </c>
    </row>
    <row r="229" spans="1:10">
      <c r="A229">
        <v>2243</v>
      </c>
      <c r="B229">
        <v>1160</v>
      </c>
      <c r="C229" t="s">
        <v>590</v>
      </c>
      <c r="D229" s="2">
        <v>46755.78849744537</v>
      </c>
      <c r="E229" t="s">
        <v>855</v>
      </c>
      <c r="H229" t="str">
        <f t="shared" si="9"/>
        <v>OK</v>
      </c>
      <c r="I229" t="str">
        <f t="shared" si="10"/>
        <v>OK</v>
      </c>
      <c r="J229" t="str">
        <f t="shared" si="11"/>
        <v>OK</v>
      </c>
    </row>
    <row r="230" spans="1:10">
      <c r="A230">
        <v>2244</v>
      </c>
      <c r="B230">
        <v>1161</v>
      </c>
      <c r="C230" t="s">
        <v>591</v>
      </c>
      <c r="D230" s="2">
        <v>47850.78849744617</v>
      </c>
      <c r="E230" t="s">
        <v>856</v>
      </c>
      <c r="H230" t="str">
        <f t="shared" si="9"/>
        <v>OK</v>
      </c>
      <c r="I230" t="str">
        <f t="shared" si="10"/>
        <v>OK</v>
      </c>
      <c r="J230" t="str">
        <f t="shared" si="11"/>
        <v>OK</v>
      </c>
    </row>
    <row r="231" spans="1:10">
      <c r="A231">
        <v>2245</v>
      </c>
      <c r="B231">
        <v>1162</v>
      </c>
      <c r="C231" t="s">
        <v>592</v>
      </c>
      <c r="D231" s="2">
        <v>47485.788497447043</v>
      </c>
      <c r="E231" t="s">
        <v>675</v>
      </c>
      <c r="H231" t="str">
        <f t="shared" si="9"/>
        <v>OK</v>
      </c>
      <c r="I231" t="str">
        <f t="shared" si="10"/>
        <v>OK</v>
      </c>
      <c r="J231" t="str">
        <f t="shared" si="11"/>
        <v>OK</v>
      </c>
    </row>
    <row r="232" spans="1:10">
      <c r="A232">
        <v>2246</v>
      </c>
      <c r="B232">
        <v>1162</v>
      </c>
      <c r="C232" t="s">
        <v>593</v>
      </c>
      <c r="D232" s="2">
        <v>46390.788497448309</v>
      </c>
      <c r="E232" t="s">
        <v>852</v>
      </c>
      <c r="H232" t="str">
        <f t="shared" si="9"/>
        <v>OK</v>
      </c>
      <c r="I232" t="str">
        <f t="shared" si="10"/>
        <v>OK</v>
      </c>
      <c r="J232" t="str">
        <f t="shared" si="11"/>
        <v>OK</v>
      </c>
    </row>
    <row r="233" spans="1:10">
      <c r="A233">
        <v>2247</v>
      </c>
      <c r="B233">
        <v>1163</v>
      </c>
      <c r="C233" t="s">
        <v>594</v>
      </c>
      <c r="D233" s="2">
        <v>47485.788497449597</v>
      </c>
      <c r="E233" t="s">
        <v>857</v>
      </c>
      <c r="H233" t="str">
        <f t="shared" si="9"/>
        <v>OK</v>
      </c>
      <c r="I233" t="str">
        <f t="shared" si="10"/>
        <v>OK</v>
      </c>
      <c r="J233" t="str">
        <f t="shared" si="11"/>
        <v>OK</v>
      </c>
    </row>
    <row r="234" spans="1:10">
      <c r="A234">
        <v>2248</v>
      </c>
      <c r="B234">
        <v>1164</v>
      </c>
      <c r="C234" t="s">
        <v>595</v>
      </c>
      <c r="D234" s="2">
        <v>46390.788497450521</v>
      </c>
      <c r="E234" t="s">
        <v>858</v>
      </c>
      <c r="H234" t="str">
        <f t="shared" si="9"/>
        <v>OK</v>
      </c>
      <c r="I234" t="str">
        <f t="shared" si="10"/>
        <v>OK</v>
      </c>
      <c r="J234" t="str">
        <f t="shared" si="11"/>
        <v>OK</v>
      </c>
    </row>
    <row r="235" spans="1:10">
      <c r="A235">
        <v>2249</v>
      </c>
      <c r="B235">
        <v>1164</v>
      </c>
      <c r="C235" t="s">
        <v>596</v>
      </c>
      <c r="D235" s="2">
        <v>46755.788497451249</v>
      </c>
      <c r="E235" t="s">
        <v>859</v>
      </c>
      <c r="H235" t="str">
        <f t="shared" si="9"/>
        <v>OK</v>
      </c>
      <c r="I235" t="str">
        <f t="shared" si="10"/>
        <v>OK</v>
      </c>
      <c r="J235" t="str">
        <f t="shared" si="11"/>
        <v>OK</v>
      </c>
    </row>
    <row r="236" spans="1:10">
      <c r="A236">
        <v>2250</v>
      </c>
      <c r="B236">
        <v>1165</v>
      </c>
      <c r="C236" t="s">
        <v>597</v>
      </c>
      <c r="D236" s="2">
        <v>46755.788497452173</v>
      </c>
      <c r="E236" t="s">
        <v>860</v>
      </c>
      <c r="H236" t="str">
        <f t="shared" si="9"/>
        <v>OK</v>
      </c>
      <c r="I236" t="str">
        <f t="shared" si="10"/>
        <v>OK</v>
      </c>
      <c r="J236" t="str">
        <f t="shared" si="11"/>
        <v>OK</v>
      </c>
    </row>
    <row r="237" spans="1:10">
      <c r="A237">
        <v>2251</v>
      </c>
      <c r="B237">
        <v>1166</v>
      </c>
      <c r="C237" t="s">
        <v>598</v>
      </c>
      <c r="D237" s="2">
        <v>47120.788497452937</v>
      </c>
      <c r="E237" t="s">
        <v>861</v>
      </c>
      <c r="H237" t="str">
        <f t="shared" si="9"/>
        <v>OK</v>
      </c>
      <c r="I237" t="str">
        <f t="shared" si="10"/>
        <v>OK</v>
      </c>
      <c r="J237" t="str">
        <f t="shared" si="11"/>
        <v>OK</v>
      </c>
    </row>
    <row r="238" spans="1:10">
      <c r="A238">
        <v>2252</v>
      </c>
      <c r="B238">
        <v>1166</v>
      </c>
      <c r="C238" t="s">
        <v>599</v>
      </c>
      <c r="D238" s="2">
        <v>47485.78849745381</v>
      </c>
      <c r="E238" t="s">
        <v>862</v>
      </c>
      <c r="H238" t="str">
        <f t="shared" si="9"/>
        <v>OK</v>
      </c>
      <c r="I238" t="str">
        <f t="shared" si="10"/>
        <v>OK</v>
      </c>
      <c r="J238" t="str">
        <f t="shared" si="11"/>
        <v>OK</v>
      </c>
    </row>
    <row r="239" spans="1:10">
      <c r="A239">
        <v>2253</v>
      </c>
      <c r="B239">
        <v>1167</v>
      </c>
      <c r="C239" t="s">
        <v>600</v>
      </c>
      <c r="D239" s="2">
        <v>46390.788497454712</v>
      </c>
      <c r="E239" t="s">
        <v>863</v>
      </c>
      <c r="H239" t="str">
        <f t="shared" si="9"/>
        <v>OK</v>
      </c>
      <c r="I239" t="str">
        <f t="shared" si="10"/>
        <v>OK</v>
      </c>
      <c r="J239" t="str">
        <f t="shared" si="11"/>
        <v>OK</v>
      </c>
    </row>
    <row r="240" spans="1:10">
      <c r="A240">
        <v>2254</v>
      </c>
      <c r="B240">
        <v>1168</v>
      </c>
      <c r="C240" t="s">
        <v>601</v>
      </c>
      <c r="D240" s="2">
        <v>47850.788497455636</v>
      </c>
      <c r="E240" t="s">
        <v>864</v>
      </c>
      <c r="H240" t="str">
        <f t="shared" si="9"/>
        <v>OK</v>
      </c>
      <c r="I240" t="str">
        <f t="shared" si="10"/>
        <v>OK</v>
      </c>
      <c r="J240" t="str">
        <f t="shared" si="11"/>
        <v>OK</v>
      </c>
    </row>
    <row r="241" spans="1:10">
      <c r="A241">
        <v>2255</v>
      </c>
      <c r="B241">
        <v>1168</v>
      </c>
      <c r="C241" t="s">
        <v>602</v>
      </c>
      <c r="D241" s="2">
        <v>47120.788497456473</v>
      </c>
      <c r="E241" t="s">
        <v>865</v>
      </c>
      <c r="H241" t="str">
        <f t="shared" si="9"/>
        <v>OK</v>
      </c>
      <c r="I241" t="str">
        <f t="shared" si="10"/>
        <v>OK</v>
      </c>
      <c r="J241" t="str">
        <f t="shared" si="11"/>
        <v>OK</v>
      </c>
    </row>
    <row r="242" spans="1:10">
      <c r="A242">
        <v>2256</v>
      </c>
      <c r="B242">
        <v>1169</v>
      </c>
      <c r="C242" t="s">
        <v>603</v>
      </c>
      <c r="D242" s="2">
        <v>47850.788497457383</v>
      </c>
      <c r="E242" t="s">
        <v>814</v>
      </c>
      <c r="H242" t="str">
        <f t="shared" si="9"/>
        <v>OK</v>
      </c>
      <c r="I242" t="str">
        <f t="shared" si="10"/>
        <v>OK</v>
      </c>
      <c r="J242" t="str">
        <f t="shared" si="11"/>
        <v>OK</v>
      </c>
    </row>
    <row r="243" spans="1:10">
      <c r="A243">
        <v>2257</v>
      </c>
      <c r="B243">
        <v>1169</v>
      </c>
      <c r="C243" t="s">
        <v>604</v>
      </c>
      <c r="D243" s="2">
        <v>47120.788497458481</v>
      </c>
      <c r="E243" t="s">
        <v>866</v>
      </c>
      <c r="H243" t="str">
        <f t="shared" si="9"/>
        <v>OK</v>
      </c>
      <c r="I243" t="str">
        <f t="shared" si="10"/>
        <v>OK</v>
      </c>
      <c r="J243" t="str">
        <f t="shared" si="11"/>
        <v>OK</v>
      </c>
    </row>
    <row r="244" spans="1:10">
      <c r="A244">
        <v>2258</v>
      </c>
      <c r="B244">
        <v>1170</v>
      </c>
      <c r="C244" t="s">
        <v>605</v>
      </c>
      <c r="D244" s="2">
        <v>47850.788497459936</v>
      </c>
      <c r="E244" t="s">
        <v>710</v>
      </c>
      <c r="H244" t="str">
        <f t="shared" si="9"/>
        <v>OK</v>
      </c>
      <c r="I244" t="str">
        <f t="shared" si="10"/>
        <v>OK</v>
      </c>
      <c r="J244" t="str">
        <f t="shared" si="11"/>
        <v>OK</v>
      </c>
    </row>
    <row r="245" spans="1:10">
      <c r="A245">
        <v>2259</v>
      </c>
      <c r="B245">
        <v>1171</v>
      </c>
      <c r="C245" t="s">
        <v>606</v>
      </c>
      <c r="D245" s="2">
        <v>47850.788497460737</v>
      </c>
      <c r="E245" t="s">
        <v>726</v>
      </c>
      <c r="H245" t="str">
        <f t="shared" si="9"/>
        <v>OK</v>
      </c>
      <c r="I245" t="str">
        <f t="shared" si="10"/>
        <v>OK</v>
      </c>
      <c r="J245" t="str">
        <f t="shared" si="11"/>
        <v>OK</v>
      </c>
    </row>
    <row r="246" spans="1:10">
      <c r="A246">
        <v>2260</v>
      </c>
      <c r="B246">
        <v>1172</v>
      </c>
      <c r="C246" t="s">
        <v>607</v>
      </c>
      <c r="D246" s="2">
        <v>47850.788497461494</v>
      </c>
      <c r="E246" t="s">
        <v>867</v>
      </c>
      <c r="H246" t="str">
        <f t="shared" si="9"/>
        <v>OK</v>
      </c>
      <c r="I246" t="str">
        <f t="shared" si="10"/>
        <v>OK</v>
      </c>
      <c r="J246" t="str">
        <f t="shared" si="11"/>
        <v>OK</v>
      </c>
    </row>
    <row r="247" spans="1:10">
      <c r="A247">
        <v>2261</v>
      </c>
      <c r="B247">
        <v>1173</v>
      </c>
      <c r="C247" t="s">
        <v>608</v>
      </c>
      <c r="D247" s="2">
        <v>46755.788497462258</v>
      </c>
      <c r="E247" t="s">
        <v>705</v>
      </c>
      <c r="H247" t="str">
        <f t="shared" si="9"/>
        <v>OK</v>
      </c>
      <c r="I247" t="str">
        <f t="shared" si="10"/>
        <v>OK</v>
      </c>
      <c r="J247" t="str">
        <f t="shared" si="11"/>
        <v>OK</v>
      </c>
    </row>
    <row r="248" spans="1:10">
      <c r="A248">
        <v>2262</v>
      </c>
      <c r="B248">
        <v>1174</v>
      </c>
      <c r="C248" t="s">
        <v>609</v>
      </c>
      <c r="D248" s="2">
        <v>47120.788497463072</v>
      </c>
      <c r="E248" t="s">
        <v>651</v>
      </c>
      <c r="H248" t="str">
        <f t="shared" si="9"/>
        <v>OK</v>
      </c>
      <c r="I248" t="str">
        <f t="shared" si="10"/>
        <v>OK</v>
      </c>
      <c r="J248" t="str">
        <f t="shared" si="11"/>
        <v>OK</v>
      </c>
    </row>
    <row r="249" spans="1:10">
      <c r="A249">
        <v>2263</v>
      </c>
      <c r="B249">
        <v>1174</v>
      </c>
      <c r="C249" t="s">
        <v>610</v>
      </c>
      <c r="D249" s="2">
        <v>46755.788497463793</v>
      </c>
      <c r="E249" t="s">
        <v>868</v>
      </c>
      <c r="H249" t="str">
        <f t="shared" si="9"/>
        <v>OK</v>
      </c>
      <c r="I249" t="str">
        <f t="shared" si="10"/>
        <v>OK</v>
      </c>
      <c r="J249" t="str">
        <f t="shared" si="11"/>
        <v>OK</v>
      </c>
    </row>
    <row r="250" spans="1:10">
      <c r="A250">
        <v>2264</v>
      </c>
      <c r="B250">
        <v>1175</v>
      </c>
      <c r="C250" t="s">
        <v>611</v>
      </c>
      <c r="D250" s="2">
        <v>47850.788497464549</v>
      </c>
      <c r="E250" t="s">
        <v>674</v>
      </c>
      <c r="H250" t="str">
        <f t="shared" si="9"/>
        <v>OK</v>
      </c>
      <c r="I250" t="str">
        <f t="shared" si="10"/>
        <v>OK</v>
      </c>
      <c r="J250" t="str">
        <f t="shared" si="11"/>
        <v>OK</v>
      </c>
    </row>
    <row r="251" spans="1:10">
      <c r="A251">
        <v>2265</v>
      </c>
      <c r="B251">
        <v>1175</v>
      </c>
      <c r="C251" t="s">
        <v>612</v>
      </c>
      <c r="D251" s="2">
        <v>47850.788497465357</v>
      </c>
      <c r="E251" t="s">
        <v>869</v>
      </c>
      <c r="H251" t="str">
        <f t="shared" si="9"/>
        <v>OK</v>
      </c>
      <c r="I251" t="str">
        <f t="shared" si="10"/>
        <v>OK</v>
      </c>
      <c r="J251" t="str">
        <f t="shared" si="11"/>
        <v>OK</v>
      </c>
    </row>
    <row r="252" spans="1:10">
      <c r="A252">
        <v>2266</v>
      </c>
      <c r="B252">
        <v>1176</v>
      </c>
      <c r="C252" t="s">
        <v>613</v>
      </c>
      <c r="D252" s="2">
        <v>47850.788497466681</v>
      </c>
      <c r="E252" t="s">
        <v>870</v>
      </c>
      <c r="H252" t="str">
        <f t="shared" si="9"/>
        <v>OK</v>
      </c>
      <c r="I252" t="str">
        <f t="shared" si="10"/>
        <v>OK</v>
      </c>
      <c r="J252" t="str">
        <f t="shared" si="11"/>
        <v>OK</v>
      </c>
    </row>
    <row r="253" spans="1:10">
      <c r="A253">
        <v>2267</v>
      </c>
      <c r="B253">
        <v>1177</v>
      </c>
      <c r="C253" t="s">
        <v>614</v>
      </c>
      <c r="D253" s="2">
        <v>46390.788497467642</v>
      </c>
      <c r="E253" t="s">
        <v>871</v>
      </c>
      <c r="H253" t="str">
        <f t="shared" si="9"/>
        <v>OK</v>
      </c>
      <c r="I253" t="str">
        <f t="shared" si="10"/>
        <v>OK</v>
      </c>
      <c r="J253" t="str">
        <f t="shared" si="11"/>
        <v>OK</v>
      </c>
    </row>
    <row r="254" spans="1:10">
      <c r="A254">
        <v>2268</v>
      </c>
      <c r="B254">
        <v>1177</v>
      </c>
      <c r="C254" t="s">
        <v>615</v>
      </c>
      <c r="D254" s="2">
        <v>46390.788497468369</v>
      </c>
      <c r="E254" t="s">
        <v>692</v>
      </c>
      <c r="H254" t="str">
        <f t="shared" si="9"/>
        <v>OK</v>
      </c>
      <c r="I254" t="str">
        <f t="shared" si="10"/>
        <v>OK</v>
      </c>
      <c r="J254" t="str">
        <f t="shared" si="11"/>
        <v>OK</v>
      </c>
    </row>
    <row r="255" spans="1:10">
      <c r="A255">
        <v>2269</v>
      </c>
      <c r="B255">
        <v>1178</v>
      </c>
      <c r="C255" t="s">
        <v>616</v>
      </c>
      <c r="D255" s="2">
        <v>47120.788497469119</v>
      </c>
      <c r="E255" t="s">
        <v>872</v>
      </c>
      <c r="H255" t="str">
        <f t="shared" si="9"/>
        <v>OK</v>
      </c>
      <c r="I255" t="str">
        <f t="shared" si="10"/>
        <v>OK</v>
      </c>
      <c r="J255" t="str">
        <f t="shared" si="11"/>
        <v>OK</v>
      </c>
    </row>
    <row r="256" spans="1:10">
      <c r="A256">
        <v>2270</v>
      </c>
      <c r="B256">
        <v>1179</v>
      </c>
      <c r="C256" t="s">
        <v>617</v>
      </c>
      <c r="D256" s="2">
        <v>47120.788497469883</v>
      </c>
      <c r="E256" t="s">
        <v>873</v>
      </c>
      <c r="H256" t="str">
        <f t="shared" si="9"/>
        <v>OK</v>
      </c>
      <c r="I256" t="str">
        <f t="shared" si="10"/>
        <v>OK</v>
      </c>
      <c r="J256" t="str">
        <f t="shared" si="11"/>
        <v>OK</v>
      </c>
    </row>
    <row r="257" spans="1:10">
      <c r="A257">
        <v>2271</v>
      </c>
      <c r="B257">
        <v>1179</v>
      </c>
      <c r="C257" t="s">
        <v>618</v>
      </c>
      <c r="D257" s="2">
        <v>46755.788497470603</v>
      </c>
      <c r="E257" t="s">
        <v>874</v>
      </c>
      <c r="H257" t="str">
        <f t="shared" si="9"/>
        <v>OK</v>
      </c>
      <c r="I257" t="str">
        <f t="shared" si="10"/>
        <v>OK</v>
      </c>
      <c r="J257" t="str">
        <f t="shared" si="11"/>
        <v>OK</v>
      </c>
    </row>
    <row r="258" spans="1:10">
      <c r="A258">
        <v>2272</v>
      </c>
      <c r="B258">
        <v>1180</v>
      </c>
      <c r="C258" t="s">
        <v>619</v>
      </c>
      <c r="D258" s="2">
        <v>46390.788497471352</v>
      </c>
      <c r="E258" t="s">
        <v>875</v>
      </c>
      <c r="H258" t="str">
        <f t="shared" si="9"/>
        <v>OK</v>
      </c>
      <c r="I258" t="str">
        <f t="shared" si="10"/>
        <v>OK</v>
      </c>
      <c r="J258" t="str">
        <f t="shared" si="11"/>
        <v>OK</v>
      </c>
    </row>
    <row r="259" spans="1:10">
      <c r="A259">
        <v>2273</v>
      </c>
      <c r="B259">
        <v>1180</v>
      </c>
      <c r="C259" t="s">
        <v>620</v>
      </c>
      <c r="D259" s="2">
        <v>47850.788497472116</v>
      </c>
      <c r="E259" t="s">
        <v>876</v>
      </c>
      <c r="H259" t="str">
        <f t="shared" ref="H259:H286" si="12">IF(ISBLANK(E259),"Lipsă","OK")</f>
        <v>OK</v>
      </c>
      <c r="I259" t="str">
        <f t="shared" ref="I259:I286" si="13">IF(LEN(C259)=16,"OK","Invalid")</f>
        <v>OK</v>
      </c>
      <c r="J259" t="str">
        <f t="shared" ref="J259:J286" si="14">IF(LEN(E259)=3,"OK","Invalid")</f>
        <v>OK</v>
      </c>
    </row>
    <row r="260" spans="1:10">
      <c r="A260">
        <v>2274</v>
      </c>
      <c r="B260">
        <v>1181</v>
      </c>
      <c r="C260" t="s">
        <v>621</v>
      </c>
      <c r="D260" s="2">
        <v>46390.788497473368</v>
      </c>
      <c r="E260" t="s">
        <v>877</v>
      </c>
      <c r="H260" t="str">
        <f t="shared" si="12"/>
        <v>OK</v>
      </c>
      <c r="I260" t="str">
        <f t="shared" si="13"/>
        <v>OK</v>
      </c>
      <c r="J260" t="str">
        <f t="shared" si="14"/>
        <v>OK</v>
      </c>
    </row>
    <row r="261" spans="1:10">
      <c r="A261">
        <v>2275</v>
      </c>
      <c r="B261">
        <v>1181</v>
      </c>
      <c r="C261" t="s">
        <v>622</v>
      </c>
      <c r="D261" s="2">
        <v>46755.788497474292</v>
      </c>
      <c r="E261" t="s">
        <v>878</v>
      </c>
      <c r="H261" t="str">
        <f t="shared" si="12"/>
        <v>OK</v>
      </c>
      <c r="I261" t="str">
        <f t="shared" si="13"/>
        <v>OK</v>
      </c>
      <c r="J261" t="str">
        <f t="shared" si="14"/>
        <v>OK</v>
      </c>
    </row>
    <row r="262" spans="1:10">
      <c r="A262">
        <v>2276</v>
      </c>
      <c r="B262">
        <v>1182</v>
      </c>
      <c r="C262" t="s">
        <v>623</v>
      </c>
      <c r="D262" s="2">
        <v>47850.788497475078</v>
      </c>
      <c r="E262" t="s">
        <v>879</v>
      </c>
      <c r="H262" t="str">
        <f t="shared" si="12"/>
        <v>OK</v>
      </c>
      <c r="I262" t="str">
        <f t="shared" si="13"/>
        <v>OK</v>
      </c>
      <c r="J262" t="str">
        <f t="shared" si="14"/>
        <v>OK</v>
      </c>
    </row>
    <row r="263" spans="1:10">
      <c r="A263">
        <v>2277</v>
      </c>
      <c r="B263">
        <v>1183</v>
      </c>
      <c r="C263" t="s">
        <v>624</v>
      </c>
      <c r="D263" s="2">
        <v>47485.788497475893</v>
      </c>
      <c r="E263" t="s">
        <v>880</v>
      </c>
      <c r="H263" t="str">
        <f t="shared" si="12"/>
        <v>OK</v>
      </c>
      <c r="I263" t="str">
        <f t="shared" si="13"/>
        <v>OK</v>
      </c>
      <c r="J263" t="str">
        <f t="shared" si="14"/>
        <v>OK</v>
      </c>
    </row>
    <row r="264" spans="1:10">
      <c r="A264">
        <v>2278</v>
      </c>
      <c r="B264">
        <v>1183</v>
      </c>
      <c r="C264" t="s">
        <v>625</v>
      </c>
      <c r="D264" s="2">
        <v>47850.788497477173</v>
      </c>
      <c r="E264" t="s">
        <v>881</v>
      </c>
      <c r="H264" t="str">
        <f t="shared" si="12"/>
        <v>OK</v>
      </c>
      <c r="I264" t="str">
        <f t="shared" si="13"/>
        <v>OK</v>
      </c>
      <c r="J264" t="str">
        <f t="shared" si="14"/>
        <v>OK</v>
      </c>
    </row>
    <row r="265" spans="1:10">
      <c r="A265">
        <v>2279</v>
      </c>
      <c r="B265">
        <v>1184</v>
      </c>
      <c r="C265" t="s">
        <v>626</v>
      </c>
      <c r="D265" s="2">
        <v>47120.788497478563</v>
      </c>
      <c r="E265" t="s">
        <v>882</v>
      </c>
      <c r="H265" t="str">
        <f t="shared" si="12"/>
        <v>OK</v>
      </c>
      <c r="I265" t="str">
        <f t="shared" si="13"/>
        <v>OK</v>
      </c>
      <c r="J265" t="str">
        <f t="shared" si="14"/>
        <v>OK</v>
      </c>
    </row>
    <row r="266" spans="1:10">
      <c r="A266">
        <v>2280</v>
      </c>
      <c r="B266">
        <v>1184</v>
      </c>
      <c r="C266" t="s">
        <v>627</v>
      </c>
      <c r="D266" s="2">
        <v>47485.788497479793</v>
      </c>
      <c r="E266" t="s">
        <v>883</v>
      </c>
      <c r="H266" t="str">
        <f t="shared" si="12"/>
        <v>OK</v>
      </c>
      <c r="I266" t="str">
        <f t="shared" si="13"/>
        <v>OK</v>
      </c>
      <c r="J266" t="str">
        <f t="shared" si="14"/>
        <v>OK</v>
      </c>
    </row>
    <row r="267" spans="1:10">
      <c r="A267">
        <v>2281</v>
      </c>
      <c r="B267">
        <v>1185</v>
      </c>
      <c r="C267" t="s">
        <v>628</v>
      </c>
      <c r="D267" s="2">
        <v>46390.788497481328</v>
      </c>
      <c r="E267" t="s">
        <v>884</v>
      </c>
      <c r="H267" t="str">
        <f t="shared" si="12"/>
        <v>OK</v>
      </c>
      <c r="I267" t="str">
        <f t="shared" si="13"/>
        <v>OK</v>
      </c>
      <c r="J267" t="str">
        <f t="shared" si="14"/>
        <v>OK</v>
      </c>
    </row>
    <row r="268" spans="1:10">
      <c r="A268">
        <v>2282</v>
      </c>
      <c r="B268">
        <v>1185</v>
      </c>
      <c r="C268" t="s">
        <v>629</v>
      </c>
      <c r="D268" s="2">
        <v>46755.78849748295</v>
      </c>
      <c r="E268" t="s">
        <v>885</v>
      </c>
      <c r="H268" t="str">
        <f t="shared" si="12"/>
        <v>OK</v>
      </c>
      <c r="I268" t="str">
        <f t="shared" si="13"/>
        <v>OK</v>
      </c>
      <c r="J268" t="str">
        <f t="shared" si="14"/>
        <v>OK</v>
      </c>
    </row>
    <row r="269" spans="1:10">
      <c r="A269">
        <v>2283</v>
      </c>
      <c r="B269">
        <v>1186</v>
      </c>
      <c r="C269" t="s">
        <v>630</v>
      </c>
      <c r="D269" s="2">
        <v>46390.788497484318</v>
      </c>
      <c r="E269" t="s">
        <v>886</v>
      </c>
      <c r="H269" t="str">
        <f t="shared" si="12"/>
        <v>OK</v>
      </c>
      <c r="I269" t="str">
        <f t="shared" si="13"/>
        <v>OK</v>
      </c>
      <c r="J269" t="str">
        <f t="shared" si="14"/>
        <v>OK</v>
      </c>
    </row>
    <row r="270" spans="1:10">
      <c r="A270">
        <v>2284</v>
      </c>
      <c r="B270">
        <v>1187</v>
      </c>
      <c r="C270" t="s">
        <v>631</v>
      </c>
      <c r="D270" s="2">
        <v>46755.788497485657</v>
      </c>
      <c r="E270" t="s">
        <v>884</v>
      </c>
      <c r="H270" t="str">
        <f t="shared" si="12"/>
        <v>OK</v>
      </c>
      <c r="I270" t="str">
        <f t="shared" si="13"/>
        <v>OK</v>
      </c>
      <c r="J270" t="str">
        <f t="shared" si="14"/>
        <v>OK</v>
      </c>
    </row>
    <row r="271" spans="1:10">
      <c r="A271">
        <v>2285</v>
      </c>
      <c r="B271">
        <v>1188</v>
      </c>
      <c r="C271" t="s">
        <v>632</v>
      </c>
      <c r="D271" s="2">
        <v>47120.788497486988</v>
      </c>
      <c r="E271" t="s">
        <v>887</v>
      </c>
      <c r="H271" t="str">
        <f t="shared" si="12"/>
        <v>OK</v>
      </c>
      <c r="I271" t="str">
        <f t="shared" si="13"/>
        <v>OK</v>
      </c>
      <c r="J271" t="str">
        <f t="shared" si="14"/>
        <v>OK</v>
      </c>
    </row>
    <row r="272" spans="1:10">
      <c r="A272">
        <v>2286</v>
      </c>
      <c r="B272">
        <v>1188</v>
      </c>
      <c r="C272" t="s">
        <v>633</v>
      </c>
      <c r="D272" s="2">
        <v>46755.788497488284</v>
      </c>
      <c r="E272" t="s">
        <v>792</v>
      </c>
      <c r="H272" t="str">
        <f t="shared" si="12"/>
        <v>OK</v>
      </c>
      <c r="I272" t="str">
        <f t="shared" si="13"/>
        <v>OK</v>
      </c>
      <c r="J272" t="str">
        <f t="shared" si="14"/>
        <v>OK</v>
      </c>
    </row>
    <row r="273" spans="1:10">
      <c r="A273">
        <v>2287</v>
      </c>
      <c r="B273">
        <v>1189</v>
      </c>
      <c r="C273" t="s">
        <v>634</v>
      </c>
      <c r="D273" s="2">
        <v>47120.788497489222</v>
      </c>
      <c r="E273" t="s">
        <v>888</v>
      </c>
      <c r="H273" t="str">
        <f t="shared" si="12"/>
        <v>OK</v>
      </c>
      <c r="I273" t="str">
        <f t="shared" si="13"/>
        <v>OK</v>
      </c>
      <c r="J273" t="str">
        <f t="shared" si="14"/>
        <v>OK</v>
      </c>
    </row>
    <row r="274" spans="1:10">
      <c r="A274">
        <v>2288</v>
      </c>
      <c r="B274">
        <v>1189</v>
      </c>
      <c r="C274" t="s">
        <v>635</v>
      </c>
      <c r="D274" s="2">
        <v>47850.788497489957</v>
      </c>
      <c r="E274" t="s">
        <v>712</v>
      </c>
      <c r="H274" t="str">
        <f t="shared" si="12"/>
        <v>OK</v>
      </c>
      <c r="I274" t="str">
        <f t="shared" si="13"/>
        <v>OK</v>
      </c>
      <c r="J274" t="str">
        <f t="shared" si="14"/>
        <v>OK</v>
      </c>
    </row>
    <row r="275" spans="1:10">
      <c r="A275">
        <v>2289</v>
      </c>
      <c r="B275">
        <v>1190</v>
      </c>
      <c r="C275" t="s">
        <v>636</v>
      </c>
      <c r="D275" s="2">
        <v>46755.788497490707</v>
      </c>
      <c r="E275" t="s">
        <v>886</v>
      </c>
      <c r="H275" t="str">
        <f t="shared" si="12"/>
        <v>OK</v>
      </c>
      <c r="I275" t="str">
        <f t="shared" si="13"/>
        <v>OK</v>
      </c>
      <c r="J275" t="str">
        <f t="shared" si="14"/>
        <v>OK</v>
      </c>
    </row>
    <row r="276" spans="1:10">
      <c r="A276">
        <v>2290</v>
      </c>
      <c r="B276">
        <v>1190</v>
      </c>
      <c r="C276" t="s">
        <v>637</v>
      </c>
      <c r="D276" s="2">
        <v>46755.788497491427</v>
      </c>
      <c r="E276" t="s">
        <v>865</v>
      </c>
      <c r="H276" t="str">
        <f t="shared" si="12"/>
        <v>OK</v>
      </c>
      <c r="I276" t="str">
        <f t="shared" si="13"/>
        <v>OK</v>
      </c>
      <c r="J276" t="str">
        <f t="shared" si="14"/>
        <v>OK</v>
      </c>
    </row>
    <row r="277" spans="1:10">
      <c r="A277">
        <v>2291</v>
      </c>
      <c r="B277">
        <v>1191</v>
      </c>
      <c r="C277" t="s">
        <v>638</v>
      </c>
      <c r="D277" s="2">
        <v>47120.788497492191</v>
      </c>
      <c r="E277" t="s">
        <v>743</v>
      </c>
      <c r="H277" t="str">
        <f t="shared" si="12"/>
        <v>OK</v>
      </c>
      <c r="I277" t="str">
        <f t="shared" si="13"/>
        <v>OK</v>
      </c>
      <c r="J277" t="str">
        <f t="shared" si="14"/>
        <v>OK</v>
      </c>
    </row>
    <row r="278" spans="1:10">
      <c r="A278">
        <v>2292</v>
      </c>
      <c r="B278">
        <v>1191</v>
      </c>
      <c r="C278" t="s">
        <v>639</v>
      </c>
      <c r="D278" s="2">
        <v>46755.788497492918</v>
      </c>
      <c r="E278" t="s">
        <v>889</v>
      </c>
      <c r="H278" t="str">
        <f t="shared" si="12"/>
        <v>OK</v>
      </c>
      <c r="I278" t="str">
        <f t="shared" si="13"/>
        <v>OK</v>
      </c>
      <c r="J278" t="str">
        <f t="shared" si="14"/>
        <v>OK</v>
      </c>
    </row>
    <row r="279" spans="1:10">
      <c r="A279">
        <v>2293</v>
      </c>
      <c r="B279">
        <v>1192</v>
      </c>
      <c r="C279" t="s">
        <v>640</v>
      </c>
      <c r="D279" s="2">
        <v>46390.788497493682</v>
      </c>
      <c r="E279" t="s">
        <v>890</v>
      </c>
      <c r="H279" t="str">
        <f t="shared" si="12"/>
        <v>OK</v>
      </c>
      <c r="I279" t="str">
        <f t="shared" si="13"/>
        <v>OK</v>
      </c>
      <c r="J279" t="str">
        <f t="shared" si="14"/>
        <v>OK</v>
      </c>
    </row>
    <row r="280" spans="1:10">
      <c r="A280">
        <v>2294</v>
      </c>
      <c r="B280">
        <v>1193</v>
      </c>
      <c r="C280" t="s">
        <v>641</v>
      </c>
      <c r="D280" s="2">
        <v>47850.788497494548</v>
      </c>
      <c r="E280" t="s">
        <v>891</v>
      </c>
      <c r="H280" t="str">
        <f t="shared" si="12"/>
        <v>OK</v>
      </c>
      <c r="I280" t="str">
        <f t="shared" si="13"/>
        <v>OK</v>
      </c>
      <c r="J280" t="str">
        <f t="shared" si="14"/>
        <v>OK</v>
      </c>
    </row>
    <row r="281" spans="1:10">
      <c r="A281">
        <v>2295</v>
      </c>
      <c r="B281">
        <v>1193</v>
      </c>
      <c r="C281" t="s">
        <v>642</v>
      </c>
      <c r="D281" s="2">
        <v>46390.788497495327</v>
      </c>
      <c r="E281" t="s">
        <v>892</v>
      </c>
      <c r="H281" t="str">
        <f t="shared" si="12"/>
        <v>OK</v>
      </c>
      <c r="I281" t="str">
        <f t="shared" si="13"/>
        <v>OK</v>
      </c>
      <c r="J281" t="str">
        <f t="shared" si="14"/>
        <v>OK</v>
      </c>
    </row>
    <row r="282" spans="1:10">
      <c r="A282">
        <v>2296</v>
      </c>
      <c r="B282">
        <v>1194</v>
      </c>
      <c r="C282" t="s">
        <v>643</v>
      </c>
      <c r="D282" s="2">
        <v>46390.788497496083</v>
      </c>
      <c r="E282" t="s">
        <v>893</v>
      </c>
      <c r="H282" t="str">
        <f t="shared" si="12"/>
        <v>OK</v>
      </c>
      <c r="I282" t="str">
        <f t="shared" si="13"/>
        <v>OK</v>
      </c>
      <c r="J282" t="str">
        <f t="shared" si="14"/>
        <v>OK</v>
      </c>
    </row>
    <row r="283" spans="1:10">
      <c r="A283">
        <v>2297</v>
      </c>
      <c r="B283">
        <v>1194</v>
      </c>
      <c r="C283" t="s">
        <v>644</v>
      </c>
      <c r="D283" s="2">
        <v>46755.788497496796</v>
      </c>
      <c r="E283" t="s">
        <v>737</v>
      </c>
      <c r="H283" t="str">
        <f t="shared" si="12"/>
        <v>OK</v>
      </c>
      <c r="I283" t="str">
        <f t="shared" si="13"/>
        <v>OK</v>
      </c>
      <c r="J283" t="str">
        <f t="shared" si="14"/>
        <v>OK</v>
      </c>
    </row>
    <row r="284" spans="1:10">
      <c r="A284">
        <v>2298</v>
      </c>
      <c r="B284">
        <v>1195</v>
      </c>
      <c r="C284" t="s">
        <v>645</v>
      </c>
      <c r="D284" s="2">
        <v>47485.788497497553</v>
      </c>
      <c r="E284" t="s">
        <v>894</v>
      </c>
      <c r="H284" t="str">
        <f t="shared" si="12"/>
        <v>OK</v>
      </c>
      <c r="I284" t="str">
        <f t="shared" si="13"/>
        <v>OK</v>
      </c>
      <c r="J284" t="str">
        <f t="shared" si="14"/>
        <v>OK</v>
      </c>
    </row>
    <row r="285" spans="1:10">
      <c r="A285">
        <v>2299</v>
      </c>
      <c r="B285">
        <v>1196</v>
      </c>
      <c r="C285" t="s">
        <v>646</v>
      </c>
      <c r="D285" s="2">
        <v>47485.788497498303</v>
      </c>
      <c r="E285" t="s">
        <v>895</v>
      </c>
      <c r="H285" t="str">
        <f t="shared" si="12"/>
        <v>OK</v>
      </c>
      <c r="I285" t="str">
        <f t="shared" si="13"/>
        <v>OK</v>
      </c>
      <c r="J285" t="str">
        <f t="shared" si="14"/>
        <v>OK</v>
      </c>
    </row>
    <row r="286" spans="1:10">
      <c r="A286">
        <v>2300</v>
      </c>
      <c r="B286">
        <v>1197</v>
      </c>
      <c r="C286" t="s">
        <v>647</v>
      </c>
      <c r="D286" s="2">
        <v>47485.788497499052</v>
      </c>
      <c r="E286" t="s">
        <v>896</v>
      </c>
      <c r="H286" t="str">
        <f t="shared" si="12"/>
        <v>OK</v>
      </c>
      <c r="I286" t="str">
        <f t="shared" si="13"/>
        <v>OK</v>
      </c>
      <c r="J286" t="str">
        <f t="shared" si="14"/>
        <v>OK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39"/>
  <sheetViews>
    <sheetView workbookViewId="0">
      <selection activeCell="D1" sqref="D1:D1048576"/>
    </sheetView>
  </sheetViews>
  <sheetFormatPr defaultRowHeight="14.4"/>
  <cols>
    <col min="3" max="3" width="12.6640625" customWidth="1"/>
    <col min="4" max="4" width="13.6640625" customWidth="1"/>
    <col min="5" max="5" width="19.88671875" customWidth="1"/>
    <col min="6" max="6" width="21.88671875" customWidth="1"/>
    <col min="10" max="10" width="30.6640625" customWidth="1"/>
    <col min="12" max="12" width="32.44140625" customWidth="1"/>
    <col min="13" max="13" width="19.33203125" customWidth="1"/>
  </cols>
  <sheetData>
    <row r="1" spans="1:13">
      <c r="A1" s="1" t="s">
        <v>897</v>
      </c>
      <c r="B1" s="1" t="s">
        <v>0</v>
      </c>
      <c r="C1" s="1" t="s">
        <v>898</v>
      </c>
      <c r="D1" s="1" t="s">
        <v>899</v>
      </c>
      <c r="E1" s="1" t="s">
        <v>900</v>
      </c>
      <c r="F1" s="1" t="s">
        <v>901</v>
      </c>
      <c r="J1" s="5" t="s">
        <v>902</v>
      </c>
      <c r="L1" s="5" t="s">
        <v>903</v>
      </c>
      <c r="M1" s="5" t="s">
        <v>918</v>
      </c>
    </row>
    <row r="2" spans="1:13">
      <c r="A2">
        <v>16</v>
      </c>
      <c r="B2">
        <v>1</v>
      </c>
      <c r="C2">
        <v>32875.4</v>
      </c>
      <c r="D2">
        <v>1643.77</v>
      </c>
      <c r="E2" s="2">
        <v>44595</v>
      </c>
      <c r="F2" s="2">
        <v>45195</v>
      </c>
      <c r="J2" t="str">
        <f>IF(D2&lt;0,"Greșit","OK")</f>
        <v>OK</v>
      </c>
      <c r="L2" t="str">
        <f>IF(F2&gt;=E2,"OK","Greșit")</f>
        <v>OK</v>
      </c>
      <c r="M2" t="str">
        <f>IF(ISNA(VLOOKUP(B2,Clienti!A:A,1,FALSE)),"Lipsă","OK")</f>
        <v>OK</v>
      </c>
    </row>
    <row r="3" spans="1:13">
      <c r="A3">
        <v>17</v>
      </c>
      <c r="B3">
        <v>2</v>
      </c>
      <c r="C3">
        <v>30066.74</v>
      </c>
      <c r="D3">
        <v>812.61</v>
      </c>
      <c r="E3" s="2">
        <v>44653</v>
      </c>
      <c r="F3" s="2">
        <v>45763</v>
      </c>
      <c r="J3" t="str">
        <f t="shared" ref="J3:J66" si="0">IF(D3&lt;0,"Greșit","OK")</f>
        <v>OK</v>
      </c>
      <c r="L3" t="str">
        <f t="shared" ref="L3:L66" si="1">IF(F3&gt;=E3,"OK","Greșit")</f>
        <v>OK</v>
      </c>
      <c r="M3" t="str">
        <f>IF(ISNA(VLOOKUP(B3,Clienti!A:A,1,FALSE)),"Lipsă","OK")</f>
        <v>OK</v>
      </c>
    </row>
    <row r="4" spans="1:13">
      <c r="A4">
        <v>18</v>
      </c>
      <c r="B4">
        <v>4</v>
      </c>
      <c r="C4">
        <v>9578.68</v>
      </c>
      <c r="D4">
        <v>532.15</v>
      </c>
      <c r="E4" s="2">
        <v>44821</v>
      </c>
      <c r="F4" s="2">
        <v>45361</v>
      </c>
      <c r="J4" t="str">
        <f t="shared" si="0"/>
        <v>OK</v>
      </c>
      <c r="L4" t="str">
        <f t="shared" si="1"/>
        <v>OK</v>
      </c>
      <c r="M4" t="str">
        <f>IF(ISNA(VLOOKUP(B4,Clienti!A:A,1,FALSE)),"Lipsă","OK")</f>
        <v>OK</v>
      </c>
    </row>
    <row r="5" spans="1:13">
      <c r="A5">
        <v>19</v>
      </c>
      <c r="B5">
        <v>4</v>
      </c>
      <c r="C5">
        <v>15427.74</v>
      </c>
      <c r="D5">
        <v>964.23</v>
      </c>
      <c r="E5" s="2">
        <v>44591</v>
      </c>
      <c r="F5" s="2">
        <v>45071</v>
      </c>
      <c r="J5" t="str">
        <f t="shared" si="0"/>
        <v>OK</v>
      </c>
      <c r="L5" t="str">
        <f t="shared" si="1"/>
        <v>OK</v>
      </c>
      <c r="M5" t="str">
        <f>IF(ISNA(VLOOKUP(B5,Clienti!A:A,1,FALSE)),"Lipsă","OK")</f>
        <v>OK</v>
      </c>
    </row>
    <row r="6" spans="1:13">
      <c r="A6">
        <v>20</v>
      </c>
      <c r="B6">
        <v>6</v>
      </c>
      <c r="C6">
        <v>6379.55</v>
      </c>
      <c r="D6">
        <v>115.99</v>
      </c>
      <c r="E6" s="2">
        <v>44651</v>
      </c>
      <c r="F6" s="2">
        <v>46301</v>
      </c>
      <c r="J6" t="str">
        <f t="shared" si="0"/>
        <v>OK</v>
      </c>
      <c r="L6" t="str">
        <f t="shared" si="1"/>
        <v>OK</v>
      </c>
      <c r="M6" t="str">
        <f>IF(ISNA(VLOOKUP(B6,Clienti!A:A,1,FALSE)),"Lipsă","OK")</f>
        <v>OK</v>
      </c>
    </row>
    <row r="7" spans="1:13">
      <c r="A7">
        <v>21</v>
      </c>
      <c r="B7">
        <v>6</v>
      </c>
      <c r="C7">
        <v>4190.0600000000004</v>
      </c>
      <c r="D7">
        <v>71.02</v>
      </c>
      <c r="E7" s="2">
        <v>44581</v>
      </c>
      <c r="F7" s="2">
        <v>46351</v>
      </c>
      <c r="J7" t="str">
        <f t="shared" si="0"/>
        <v>OK</v>
      </c>
      <c r="L7" t="str">
        <f t="shared" si="1"/>
        <v>OK</v>
      </c>
      <c r="M7" t="str">
        <f>IF(ISNA(VLOOKUP(B7,Clienti!A:A,1,FALSE)),"Lipsă","OK")</f>
        <v>OK</v>
      </c>
    </row>
    <row r="8" spans="1:13">
      <c r="A8">
        <v>22</v>
      </c>
      <c r="B8">
        <v>6</v>
      </c>
      <c r="C8">
        <v>10285.629999999999</v>
      </c>
      <c r="D8">
        <v>270.67</v>
      </c>
      <c r="E8" s="2">
        <v>44846</v>
      </c>
      <c r="F8" s="2">
        <v>45986</v>
      </c>
      <c r="J8" t="str">
        <f t="shared" si="0"/>
        <v>OK</v>
      </c>
      <c r="L8" t="str">
        <f t="shared" si="1"/>
        <v>OK</v>
      </c>
      <c r="M8" t="str">
        <f>IF(ISNA(VLOOKUP(B8,Clienti!A:A,1,FALSE)),"Lipsă","OK")</f>
        <v>OK</v>
      </c>
    </row>
    <row r="9" spans="1:13">
      <c r="A9">
        <v>23</v>
      </c>
      <c r="B9">
        <v>7</v>
      </c>
      <c r="C9">
        <v>35541.910000000003</v>
      </c>
      <c r="D9">
        <v>1269.3499999999999</v>
      </c>
      <c r="E9" s="2">
        <v>44890</v>
      </c>
      <c r="F9" s="2">
        <v>45730</v>
      </c>
      <c r="J9" t="str">
        <f t="shared" si="0"/>
        <v>OK</v>
      </c>
      <c r="L9" t="str">
        <f t="shared" si="1"/>
        <v>OK</v>
      </c>
      <c r="M9" t="str">
        <f>IF(ISNA(VLOOKUP(B9,Clienti!A:A,1,FALSE)),"Lipsă","OK")</f>
        <v>OK</v>
      </c>
    </row>
    <row r="10" spans="1:13">
      <c r="A10">
        <v>24</v>
      </c>
      <c r="B10">
        <v>9</v>
      </c>
      <c r="C10">
        <v>6749.45</v>
      </c>
      <c r="D10">
        <v>114.4</v>
      </c>
      <c r="E10" s="2">
        <v>44625</v>
      </c>
      <c r="F10" s="2">
        <v>46395</v>
      </c>
      <c r="J10" t="str">
        <f t="shared" si="0"/>
        <v>OK</v>
      </c>
      <c r="L10" t="str">
        <f t="shared" si="1"/>
        <v>OK</v>
      </c>
      <c r="M10" t="str">
        <f>IF(ISNA(VLOOKUP(B10,Clienti!A:A,1,FALSE)),"Lipsă","OK")</f>
        <v>OK</v>
      </c>
    </row>
    <row r="11" spans="1:13">
      <c r="A11">
        <v>25</v>
      </c>
      <c r="B11">
        <v>9</v>
      </c>
      <c r="C11">
        <v>40572.61</v>
      </c>
      <c r="D11">
        <v>3120.97</v>
      </c>
      <c r="E11" s="2">
        <v>44584</v>
      </c>
      <c r="F11" s="2">
        <v>44974</v>
      </c>
      <c r="J11" t="str">
        <f t="shared" si="0"/>
        <v>OK</v>
      </c>
      <c r="L11" t="str">
        <f t="shared" si="1"/>
        <v>OK</v>
      </c>
      <c r="M11" t="str">
        <f>IF(ISNA(VLOOKUP(B11,Clienti!A:A,1,FALSE)),"Lipsă","OK")</f>
        <v>OK</v>
      </c>
    </row>
    <row r="12" spans="1:13">
      <c r="A12">
        <v>26</v>
      </c>
      <c r="B12">
        <v>9</v>
      </c>
      <c r="C12">
        <v>1025.07</v>
      </c>
      <c r="D12">
        <v>19.71</v>
      </c>
      <c r="E12" s="2">
        <v>44691</v>
      </c>
      <c r="F12" s="2">
        <v>46251</v>
      </c>
      <c r="J12" t="str">
        <f t="shared" si="0"/>
        <v>OK</v>
      </c>
      <c r="L12" t="str">
        <f t="shared" si="1"/>
        <v>OK</v>
      </c>
      <c r="M12" t="str">
        <f>IF(ISNA(VLOOKUP(B12,Clienti!A:A,1,FALSE)),"Lipsă","OK")</f>
        <v>OK</v>
      </c>
    </row>
    <row r="13" spans="1:13">
      <c r="A13">
        <v>27</v>
      </c>
      <c r="B13">
        <v>12</v>
      </c>
      <c r="C13">
        <v>7018.97</v>
      </c>
      <c r="D13">
        <v>123.14</v>
      </c>
      <c r="E13" s="2">
        <v>44618</v>
      </c>
      <c r="F13" s="2">
        <v>46328</v>
      </c>
      <c r="J13" t="str">
        <f t="shared" si="0"/>
        <v>OK</v>
      </c>
      <c r="L13" t="str">
        <f t="shared" si="1"/>
        <v>OK</v>
      </c>
      <c r="M13" t="str">
        <f>IF(ISNA(VLOOKUP(B13,Clienti!A:A,1,FALSE)),"Lipsă","OK")</f>
        <v>OK</v>
      </c>
    </row>
    <row r="14" spans="1:13">
      <c r="A14">
        <v>28</v>
      </c>
      <c r="B14">
        <v>12</v>
      </c>
      <c r="C14">
        <v>34078.370000000003</v>
      </c>
      <c r="D14">
        <v>2434.17</v>
      </c>
      <c r="E14" s="2">
        <v>44760</v>
      </c>
      <c r="F14" s="2">
        <v>45180</v>
      </c>
      <c r="J14" t="str">
        <f t="shared" si="0"/>
        <v>OK</v>
      </c>
      <c r="L14" t="str">
        <f t="shared" si="1"/>
        <v>OK</v>
      </c>
      <c r="M14" t="str">
        <f>IF(ISNA(VLOOKUP(B14,Clienti!A:A,1,FALSE)),"Lipsă","OK")</f>
        <v>OK</v>
      </c>
    </row>
    <row r="15" spans="1:13">
      <c r="A15">
        <v>29</v>
      </c>
      <c r="B15">
        <v>13</v>
      </c>
      <c r="C15">
        <v>48202.63</v>
      </c>
      <c r="D15">
        <v>1928.11</v>
      </c>
      <c r="E15" s="2">
        <v>44683</v>
      </c>
      <c r="F15" s="2">
        <v>45433</v>
      </c>
      <c r="J15" t="str">
        <f t="shared" si="0"/>
        <v>OK</v>
      </c>
      <c r="L15" t="str">
        <f t="shared" si="1"/>
        <v>OK</v>
      </c>
      <c r="M15" t="str">
        <f>IF(ISNA(VLOOKUP(B15,Clienti!A:A,1,FALSE)),"Lipsă","OK")</f>
        <v>OK</v>
      </c>
    </row>
    <row r="16" spans="1:13">
      <c r="A16">
        <v>30</v>
      </c>
      <c r="B16">
        <v>14</v>
      </c>
      <c r="C16">
        <v>14580.01</v>
      </c>
      <c r="D16">
        <v>275.08999999999997</v>
      </c>
      <c r="E16" s="2">
        <v>44857</v>
      </c>
      <c r="F16" s="2">
        <v>46447</v>
      </c>
      <c r="J16" t="str">
        <f t="shared" si="0"/>
        <v>OK</v>
      </c>
      <c r="L16" t="str">
        <f t="shared" si="1"/>
        <v>OK</v>
      </c>
      <c r="M16" t="str">
        <f>IF(ISNA(VLOOKUP(B16,Clienti!A:A,1,FALSE)),"Lipsă","OK")</f>
        <v>OK</v>
      </c>
    </row>
    <row r="17" spans="1:13">
      <c r="A17">
        <v>31</v>
      </c>
      <c r="B17">
        <v>15</v>
      </c>
      <c r="C17">
        <v>20066.259999999998</v>
      </c>
      <c r="D17">
        <v>364.84</v>
      </c>
      <c r="E17" s="2">
        <v>44626</v>
      </c>
      <c r="F17" s="2">
        <v>46276</v>
      </c>
      <c r="J17" t="str">
        <f t="shared" si="0"/>
        <v>OK</v>
      </c>
      <c r="L17" t="str">
        <f t="shared" si="1"/>
        <v>OK</v>
      </c>
      <c r="M17" t="str">
        <f>IF(ISNA(VLOOKUP(B17,Clienti!A:A,1,FALSE)),"Lipsă","OK")</f>
        <v>OK</v>
      </c>
    </row>
    <row r="18" spans="1:13">
      <c r="A18">
        <v>32</v>
      </c>
      <c r="B18">
        <v>17</v>
      </c>
      <c r="C18">
        <v>6434.86</v>
      </c>
      <c r="D18">
        <v>321.74</v>
      </c>
      <c r="E18" s="2">
        <v>44912</v>
      </c>
      <c r="F18" s="2">
        <v>45512</v>
      </c>
      <c r="J18" t="str">
        <f t="shared" si="0"/>
        <v>OK</v>
      </c>
      <c r="L18" t="str">
        <f t="shared" si="1"/>
        <v>OK</v>
      </c>
      <c r="M18" t="str">
        <f>IF(ISNA(VLOOKUP(B18,Clienti!A:A,1,FALSE)),"Lipsă","OK")</f>
        <v>OK</v>
      </c>
    </row>
    <row r="19" spans="1:13">
      <c r="A19">
        <v>33</v>
      </c>
      <c r="B19">
        <v>18</v>
      </c>
      <c r="C19">
        <v>23247.52</v>
      </c>
      <c r="D19">
        <v>596.09</v>
      </c>
      <c r="E19" s="2">
        <v>44762</v>
      </c>
      <c r="F19" s="2">
        <v>45932</v>
      </c>
      <c r="J19" t="str">
        <f t="shared" si="0"/>
        <v>OK</v>
      </c>
      <c r="L19" t="str">
        <f t="shared" si="1"/>
        <v>OK</v>
      </c>
      <c r="M19" t="str">
        <f>IF(ISNA(VLOOKUP(B19,Clienti!A:A,1,FALSE)),"Lipsă","OK")</f>
        <v>OK</v>
      </c>
    </row>
    <row r="20" spans="1:13">
      <c r="A20">
        <v>34</v>
      </c>
      <c r="B20">
        <v>19</v>
      </c>
      <c r="C20">
        <v>26548.52</v>
      </c>
      <c r="D20">
        <v>1021.1</v>
      </c>
      <c r="E20" s="2">
        <v>44828</v>
      </c>
      <c r="F20" s="2">
        <v>45608</v>
      </c>
      <c r="J20" t="str">
        <f t="shared" si="0"/>
        <v>OK</v>
      </c>
      <c r="L20" t="str">
        <f t="shared" si="1"/>
        <v>OK</v>
      </c>
      <c r="M20" t="str">
        <f>IF(ISNA(VLOOKUP(B20,Clienti!A:A,1,FALSE)),"Lipsă","OK")</f>
        <v>OK</v>
      </c>
    </row>
    <row r="21" spans="1:13">
      <c r="A21">
        <v>35</v>
      </c>
      <c r="B21">
        <v>19</v>
      </c>
      <c r="C21">
        <v>34694.49</v>
      </c>
      <c r="D21">
        <v>630.80999999999995</v>
      </c>
      <c r="E21" s="2">
        <v>44888</v>
      </c>
      <c r="F21" s="2">
        <v>46538</v>
      </c>
      <c r="J21" t="str">
        <f t="shared" si="0"/>
        <v>OK</v>
      </c>
      <c r="L21" t="str">
        <f t="shared" si="1"/>
        <v>OK</v>
      </c>
      <c r="M21" t="str">
        <f>IF(ISNA(VLOOKUP(B21,Clienti!A:A,1,FALSE)),"Lipsă","OK")</f>
        <v>OK</v>
      </c>
    </row>
    <row r="22" spans="1:13">
      <c r="A22">
        <v>36</v>
      </c>
      <c r="B22">
        <v>20</v>
      </c>
      <c r="C22">
        <v>20331.04</v>
      </c>
      <c r="D22">
        <v>390.98</v>
      </c>
      <c r="E22" s="2">
        <v>44701</v>
      </c>
      <c r="F22" s="2">
        <v>46261</v>
      </c>
      <c r="J22" t="str">
        <f t="shared" si="0"/>
        <v>OK</v>
      </c>
      <c r="L22" t="str">
        <f t="shared" si="1"/>
        <v>OK</v>
      </c>
      <c r="M22" t="str">
        <f>IF(ISNA(VLOOKUP(B22,Clienti!A:A,1,FALSE)),"Lipsă","OK")</f>
        <v>OK</v>
      </c>
    </row>
    <row r="23" spans="1:13">
      <c r="A23">
        <v>37</v>
      </c>
      <c r="B23">
        <v>20</v>
      </c>
      <c r="C23">
        <v>39396.71</v>
      </c>
      <c r="D23">
        <v>804.01</v>
      </c>
      <c r="E23" s="2">
        <v>44619</v>
      </c>
      <c r="F23" s="2">
        <v>46089</v>
      </c>
      <c r="J23" t="str">
        <f t="shared" si="0"/>
        <v>OK</v>
      </c>
      <c r="L23" t="str">
        <f t="shared" si="1"/>
        <v>OK</v>
      </c>
      <c r="M23" t="str">
        <f>IF(ISNA(VLOOKUP(B23,Clienti!A:A,1,FALSE)),"Lipsă","OK")</f>
        <v>OK</v>
      </c>
    </row>
    <row r="24" spans="1:13">
      <c r="A24">
        <v>38</v>
      </c>
      <c r="B24">
        <v>21</v>
      </c>
      <c r="C24">
        <v>42136.68</v>
      </c>
      <c r="D24">
        <v>1080.43</v>
      </c>
      <c r="E24" s="2">
        <v>44812</v>
      </c>
      <c r="F24" s="2">
        <v>45982</v>
      </c>
      <c r="J24" t="str">
        <f t="shared" si="0"/>
        <v>OK</v>
      </c>
      <c r="L24" t="str">
        <f t="shared" si="1"/>
        <v>OK</v>
      </c>
      <c r="M24" t="str">
        <f>IF(ISNA(VLOOKUP(B24,Clienti!A:A,1,FALSE)),"Lipsă","OK")</f>
        <v>OK</v>
      </c>
    </row>
    <row r="25" spans="1:13">
      <c r="A25">
        <v>39</v>
      </c>
      <c r="B25">
        <v>21</v>
      </c>
      <c r="C25">
        <v>3745.17</v>
      </c>
      <c r="D25">
        <v>138.71</v>
      </c>
      <c r="E25" s="2">
        <v>44743</v>
      </c>
      <c r="F25" s="2">
        <v>45553</v>
      </c>
      <c r="J25" t="str">
        <f t="shared" si="0"/>
        <v>OK</v>
      </c>
      <c r="L25" t="str">
        <f t="shared" si="1"/>
        <v>OK</v>
      </c>
      <c r="M25" t="str">
        <f>IF(ISNA(VLOOKUP(B25,Clienti!A:A,1,FALSE)),"Lipsă","OK")</f>
        <v>OK</v>
      </c>
    </row>
    <row r="26" spans="1:13">
      <c r="A26">
        <v>40</v>
      </c>
      <c r="B26">
        <v>23</v>
      </c>
      <c r="C26">
        <v>31083.07</v>
      </c>
      <c r="D26">
        <v>1351.44</v>
      </c>
      <c r="E26" s="2">
        <v>44743</v>
      </c>
      <c r="F26" s="2">
        <v>45433</v>
      </c>
      <c r="J26" t="str">
        <f t="shared" si="0"/>
        <v>OK</v>
      </c>
      <c r="L26" t="str">
        <f t="shared" si="1"/>
        <v>OK</v>
      </c>
      <c r="M26" t="str">
        <f>IF(ISNA(VLOOKUP(B26,Clienti!A:A,1,FALSE)),"Lipsă","OK")</f>
        <v>OK</v>
      </c>
    </row>
    <row r="27" spans="1:13">
      <c r="A27">
        <v>41</v>
      </c>
      <c r="B27">
        <v>24</v>
      </c>
      <c r="C27">
        <v>14042.69</v>
      </c>
      <c r="D27">
        <v>1003.05</v>
      </c>
      <c r="E27" s="2">
        <v>44672</v>
      </c>
      <c r="F27" s="2">
        <v>45092</v>
      </c>
      <c r="J27" t="str">
        <f t="shared" si="0"/>
        <v>OK</v>
      </c>
      <c r="L27" t="str">
        <f t="shared" si="1"/>
        <v>OK</v>
      </c>
      <c r="M27" t="str">
        <f>IF(ISNA(VLOOKUP(B27,Clienti!A:A,1,FALSE)),"Lipsă","OK")</f>
        <v>OK</v>
      </c>
    </row>
    <row r="28" spans="1:13">
      <c r="A28">
        <v>42</v>
      </c>
      <c r="B28">
        <v>25</v>
      </c>
      <c r="C28">
        <v>29379.72</v>
      </c>
      <c r="D28">
        <v>587.59</v>
      </c>
      <c r="E28" s="2">
        <v>44821</v>
      </c>
      <c r="F28" s="2">
        <v>46321</v>
      </c>
      <c r="J28" t="str">
        <f t="shared" si="0"/>
        <v>OK</v>
      </c>
      <c r="L28" t="str">
        <f t="shared" si="1"/>
        <v>OK</v>
      </c>
      <c r="M28" t="str">
        <f>IF(ISNA(VLOOKUP(B28,Clienti!A:A,1,FALSE)),"Lipsă","OK")</f>
        <v>OK</v>
      </c>
    </row>
    <row r="29" spans="1:13">
      <c r="A29">
        <v>43</v>
      </c>
      <c r="B29">
        <v>26</v>
      </c>
      <c r="C29">
        <v>21060.55</v>
      </c>
      <c r="D29">
        <v>915.68</v>
      </c>
      <c r="E29" s="2">
        <v>44895</v>
      </c>
      <c r="F29" s="2">
        <v>45585</v>
      </c>
      <c r="J29" t="str">
        <f t="shared" si="0"/>
        <v>OK</v>
      </c>
      <c r="L29" t="str">
        <f t="shared" si="1"/>
        <v>OK</v>
      </c>
      <c r="M29" t="str">
        <f>IF(ISNA(VLOOKUP(B29,Clienti!A:A,1,FALSE)),"Lipsă","OK")</f>
        <v>OK</v>
      </c>
    </row>
    <row r="30" spans="1:13">
      <c r="A30">
        <v>44</v>
      </c>
      <c r="B30">
        <v>26</v>
      </c>
      <c r="C30">
        <v>29597.38</v>
      </c>
      <c r="D30">
        <v>896.89</v>
      </c>
      <c r="E30" s="2">
        <v>44826</v>
      </c>
      <c r="F30" s="2">
        <v>45816</v>
      </c>
      <c r="J30" t="str">
        <f t="shared" si="0"/>
        <v>OK</v>
      </c>
      <c r="L30" t="str">
        <f t="shared" si="1"/>
        <v>OK</v>
      </c>
      <c r="M30" t="str">
        <f>IF(ISNA(VLOOKUP(B30,Clienti!A:A,1,FALSE)),"Lipsă","OK")</f>
        <v>OK</v>
      </c>
    </row>
    <row r="31" spans="1:13">
      <c r="A31">
        <v>45</v>
      </c>
      <c r="B31">
        <v>27</v>
      </c>
      <c r="C31">
        <v>10460.450000000001</v>
      </c>
      <c r="D31">
        <v>197.37</v>
      </c>
      <c r="E31" s="2">
        <v>44787</v>
      </c>
      <c r="F31" s="2">
        <v>46377</v>
      </c>
      <c r="J31" t="str">
        <f t="shared" si="0"/>
        <v>OK</v>
      </c>
      <c r="L31" t="str">
        <f t="shared" si="1"/>
        <v>OK</v>
      </c>
      <c r="M31" t="str">
        <f>IF(ISNA(VLOOKUP(B31,Clienti!A:A,1,FALSE)),"Lipsă","OK")</f>
        <v>OK</v>
      </c>
    </row>
    <row r="32" spans="1:13">
      <c r="A32">
        <v>46</v>
      </c>
      <c r="B32">
        <v>28</v>
      </c>
      <c r="C32">
        <v>45075.5</v>
      </c>
      <c r="D32">
        <v>959.05</v>
      </c>
      <c r="E32" s="2">
        <v>44817</v>
      </c>
      <c r="F32" s="2">
        <v>46227</v>
      </c>
      <c r="J32" t="str">
        <f t="shared" si="0"/>
        <v>OK</v>
      </c>
      <c r="L32" t="str">
        <f t="shared" si="1"/>
        <v>OK</v>
      </c>
      <c r="M32" t="str">
        <f>IF(ISNA(VLOOKUP(B32,Clienti!A:A,1,FALSE)),"Lipsă","OK")</f>
        <v>OK</v>
      </c>
    </row>
    <row r="33" spans="1:13">
      <c r="A33">
        <v>47</v>
      </c>
      <c r="B33">
        <v>28</v>
      </c>
      <c r="C33">
        <v>1998.85</v>
      </c>
      <c r="D33">
        <v>43.45</v>
      </c>
      <c r="E33" s="2">
        <v>44788</v>
      </c>
      <c r="F33" s="2">
        <v>46168</v>
      </c>
      <c r="J33" t="str">
        <f t="shared" si="0"/>
        <v>OK</v>
      </c>
      <c r="L33" t="str">
        <f t="shared" si="1"/>
        <v>OK</v>
      </c>
      <c r="M33" t="str">
        <f>IF(ISNA(VLOOKUP(B33,Clienti!A:A,1,FALSE)),"Lipsă","OK")</f>
        <v>OK</v>
      </c>
    </row>
    <row r="34" spans="1:13">
      <c r="A34">
        <v>48</v>
      </c>
      <c r="B34">
        <v>28</v>
      </c>
      <c r="C34">
        <v>7576.06</v>
      </c>
      <c r="D34">
        <v>132.91</v>
      </c>
      <c r="E34" s="2">
        <v>44614</v>
      </c>
      <c r="F34" s="2">
        <v>46324</v>
      </c>
      <c r="J34" t="str">
        <f t="shared" si="0"/>
        <v>OK</v>
      </c>
      <c r="L34" t="str">
        <f t="shared" si="1"/>
        <v>OK</v>
      </c>
      <c r="M34" t="str">
        <f>IF(ISNA(VLOOKUP(B34,Clienti!A:A,1,FALSE)),"Lipsă","OK")</f>
        <v>OK</v>
      </c>
    </row>
    <row r="35" spans="1:13">
      <c r="A35">
        <v>49</v>
      </c>
      <c r="B35">
        <v>32</v>
      </c>
      <c r="C35">
        <v>22060.66</v>
      </c>
      <c r="D35">
        <v>1225.5899999999999</v>
      </c>
      <c r="E35" s="2">
        <v>44793</v>
      </c>
      <c r="F35" s="2">
        <v>45333</v>
      </c>
      <c r="J35" t="str">
        <f t="shared" si="0"/>
        <v>OK</v>
      </c>
      <c r="L35" t="str">
        <f t="shared" si="1"/>
        <v>OK</v>
      </c>
      <c r="M35" t="str">
        <f>IF(ISNA(VLOOKUP(B35,Clienti!A:A,1,FALSE)),"Lipsă","OK")</f>
        <v>OK</v>
      </c>
    </row>
    <row r="36" spans="1:13">
      <c r="A36">
        <v>50</v>
      </c>
      <c r="B36">
        <v>33</v>
      </c>
      <c r="C36">
        <v>24237.71</v>
      </c>
      <c r="D36">
        <v>504.95</v>
      </c>
      <c r="E36" s="2">
        <v>44738</v>
      </c>
      <c r="F36" s="2">
        <v>46178</v>
      </c>
      <c r="J36" t="str">
        <f t="shared" si="0"/>
        <v>OK</v>
      </c>
      <c r="L36" t="str">
        <f t="shared" si="1"/>
        <v>OK</v>
      </c>
      <c r="M36" t="str">
        <f>IF(ISNA(VLOOKUP(B36,Clienti!A:A,1,FALSE)),"Lipsă","OK")</f>
        <v>OK</v>
      </c>
    </row>
    <row r="37" spans="1:13">
      <c r="A37">
        <v>51</v>
      </c>
      <c r="B37">
        <v>33</v>
      </c>
      <c r="C37">
        <v>42408.53</v>
      </c>
      <c r="D37">
        <v>3262.19</v>
      </c>
      <c r="E37" s="2">
        <v>44915</v>
      </c>
      <c r="F37" s="2">
        <v>45305</v>
      </c>
      <c r="J37" t="str">
        <f t="shared" si="0"/>
        <v>OK</v>
      </c>
      <c r="L37" t="str">
        <f t="shared" si="1"/>
        <v>OK</v>
      </c>
      <c r="M37" t="str">
        <f>IF(ISNA(VLOOKUP(B37,Clienti!A:A,1,FALSE)),"Lipsă","OK")</f>
        <v>OK</v>
      </c>
    </row>
    <row r="38" spans="1:13">
      <c r="A38">
        <v>52</v>
      </c>
      <c r="B38">
        <v>33</v>
      </c>
      <c r="C38">
        <v>41138.46</v>
      </c>
      <c r="D38">
        <v>697.26</v>
      </c>
      <c r="E38" s="2">
        <v>44786</v>
      </c>
      <c r="F38" s="2">
        <v>46556</v>
      </c>
      <c r="J38" t="str">
        <f t="shared" si="0"/>
        <v>OK</v>
      </c>
      <c r="L38" t="str">
        <f t="shared" si="1"/>
        <v>OK</v>
      </c>
      <c r="M38" t="str">
        <f>IF(ISNA(VLOOKUP(B38,Clienti!A:A,1,FALSE)),"Lipsă","OK")</f>
        <v>OK</v>
      </c>
    </row>
    <row r="39" spans="1:13">
      <c r="A39">
        <v>53</v>
      </c>
      <c r="B39">
        <v>34</v>
      </c>
      <c r="C39">
        <v>41829.410000000003</v>
      </c>
      <c r="D39">
        <v>733.85</v>
      </c>
      <c r="E39" s="2">
        <v>44753</v>
      </c>
      <c r="F39" s="2">
        <v>46463</v>
      </c>
      <c r="J39" t="str">
        <f t="shared" si="0"/>
        <v>OK</v>
      </c>
      <c r="L39" t="str">
        <f t="shared" si="1"/>
        <v>OK</v>
      </c>
      <c r="M39" t="str">
        <f>IF(ISNA(VLOOKUP(B39,Clienti!A:A,1,FALSE)),"Lipsă","OK")</f>
        <v>OK</v>
      </c>
    </row>
    <row r="40" spans="1:13">
      <c r="A40">
        <v>54</v>
      </c>
      <c r="B40">
        <v>34</v>
      </c>
      <c r="C40">
        <v>33602.21</v>
      </c>
      <c r="D40">
        <v>714.94</v>
      </c>
      <c r="E40" s="2">
        <v>44794</v>
      </c>
      <c r="F40" s="2">
        <v>46204</v>
      </c>
      <c r="J40" t="str">
        <f t="shared" si="0"/>
        <v>OK</v>
      </c>
      <c r="L40" t="str">
        <f t="shared" si="1"/>
        <v>OK</v>
      </c>
      <c r="M40" t="str">
        <f>IF(ISNA(VLOOKUP(B40,Clienti!A:A,1,FALSE)),"Lipsă","OK")</f>
        <v>OK</v>
      </c>
    </row>
    <row r="41" spans="1:13">
      <c r="A41">
        <v>55</v>
      </c>
      <c r="B41">
        <v>36</v>
      </c>
      <c r="C41">
        <v>26225.75</v>
      </c>
      <c r="D41">
        <v>690.15</v>
      </c>
      <c r="E41" s="2">
        <v>44735</v>
      </c>
      <c r="F41" s="2">
        <v>45875</v>
      </c>
      <c r="J41" t="str">
        <f t="shared" si="0"/>
        <v>OK</v>
      </c>
      <c r="L41" t="str">
        <f t="shared" si="1"/>
        <v>OK</v>
      </c>
      <c r="M41" t="str">
        <f>IF(ISNA(VLOOKUP(B41,Clienti!A:A,1,FALSE)),"Lipsă","OK")</f>
        <v>OK</v>
      </c>
    </row>
    <row r="42" spans="1:13">
      <c r="A42">
        <v>56</v>
      </c>
      <c r="B42">
        <v>36</v>
      </c>
      <c r="C42">
        <v>41719.699999999997</v>
      </c>
      <c r="D42">
        <v>2979.98</v>
      </c>
      <c r="E42" s="2">
        <v>44890</v>
      </c>
      <c r="F42" s="2">
        <v>45310</v>
      </c>
      <c r="J42" t="str">
        <f t="shared" si="0"/>
        <v>OK</v>
      </c>
      <c r="L42" t="str">
        <f t="shared" si="1"/>
        <v>OK</v>
      </c>
      <c r="M42" t="str">
        <f>IF(ISNA(VLOOKUP(B42,Clienti!A:A,1,FALSE)),"Lipsă","OK")</f>
        <v>OK</v>
      </c>
    </row>
    <row r="43" spans="1:13">
      <c r="A43">
        <v>57</v>
      </c>
      <c r="B43">
        <v>37</v>
      </c>
      <c r="C43">
        <v>9448.73</v>
      </c>
      <c r="D43">
        <v>201.04</v>
      </c>
      <c r="E43" s="2">
        <v>44779</v>
      </c>
      <c r="F43" s="2">
        <v>46189</v>
      </c>
      <c r="J43" t="str">
        <f t="shared" si="0"/>
        <v>OK</v>
      </c>
      <c r="L43" t="str">
        <f t="shared" si="1"/>
        <v>OK</v>
      </c>
      <c r="M43" t="str">
        <f>IF(ISNA(VLOOKUP(B43,Clienti!A:A,1,FALSE)),"Lipsă","OK")</f>
        <v>OK</v>
      </c>
    </row>
    <row r="44" spans="1:13">
      <c r="A44">
        <v>58</v>
      </c>
      <c r="B44">
        <v>37</v>
      </c>
      <c r="C44">
        <v>46124.73</v>
      </c>
      <c r="D44">
        <v>2427.62</v>
      </c>
      <c r="E44" s="2">
        <v>44898</v>
      </c>
      <c r="F44" s="2">
        <v>45468</v>
      </c>
      <c r="J44" t="str">
        <f t="shared" si="0"/>
        <v>OK</v>
      </c>
      <c r="L44" t="str">
        <f t="shared" si="1"/>
        <v>OK</v>
      </c>
      <c r="M44" t="str">
        <f>IF(ISNA(VLOOKUP(B44,Clienti!A:A,1,FALSE)),"Lipsă","OK")</f>
        <v>OK</v>
      </c>
    </row>
    <row r="45" spans="1:13">
      <c r="A45">
        <v>59</v>
      </c>
      <c r="B45">
        <v>39</v>
      </c>
      <c r="C45">
        <v>10836.05</v>
      </c>
      <c r="D45">
        <v>230.55</v>
      </c>
      <c r="E45" s="2">
        <v>44786</v>
      </c>
      <c r="F45" s="2">
        <v>46196</v>
      </c>
      <c r="J45" t="str">
        <f t="shared" si="0"/>
        <v>OK</v>
      </c>
      <c r="L45" t="str">
        <f t="shared" si="1"/>
        <v>OK</v>
      </c>
      <c r="M45" t="str">
        <f>IF(ISNA(VLOOKUP(B45,Clienti!A:A,1,FALSE)),"Lipsă","OK")</f>
        <v>OK</v>
      </c>
    </row>
    <row r="46" spans="1:13">
      <c r="A46">
        <v>60</v>
      </c>
      <c r="B46">
        <v>39</v>
      </c>
      <c r="C46">
        <v>17033.259999999998</v>
      </c>
      <c r="D46">
        <v>333.99</v>
      </c>
      <c r="E46" s="2">
        <v>44712</v>
      </c>
      <c r="F46" s="2">
        <v>46242</v>
      </c>
      <c r="J46" t="str">
        <f t="shared" si="0"/>
        <v>OK</v>
      </c>
      <c r="L46" t="str">
        <f t="shared" si="1"/>
        <v>OK</v>
      </c>
      <c r="M46" t="str">
        <f>IF(ISNA(VLOOKUP(B46,Clienti!A:A,1,FALSE)),"Lipsă","OK")</f>
        <v>OK</v>
      </c>
    </row>
    <row r="47" spans="1:13">
      <c r="A47">
        <v>61</v>
      </c>
      <c r="B47">
        <v>39</v>
      </c>
      <c r="C47">
        <v>46774.9</v>
      </c>
      <c r="D47">
        <v>2033.69</v>
      </c>
      <c r="E47" s="2">
        <v>44821</v>
      </c>
      <c r="F47" s="2">
        <v>45511</v>
      </c>
      <c r="J47" t="str">
        <f t="shared" si="0"/>
        <v>OK</v>
      </c>
      <c r="L47" t="str">
        <f t="shared" si="1"/>
        <v>OK</v>
      </c>
      <c r="M47" t="str">
        <f>IF(ISNA(VLOOKUP(B47,Clienti!A:A,1,FALSE)),"Lipsă","OK")</f>
        <v>OK</v>
      </c>
    </row>
    <row r="48" spans="1:13">
      <c r="A48">
        <v>62</v>
      </c>
      <c r="B48">
        <v>40</v>
      </c>
      <c r="C48">
        <v>48529.73</v>
      </c>
      <c r="D48">
        <v>1427.35</v>
      </c>
      <c r="E48" s="2">
        <v>44593</v>
      </c>
      <c r="F48" s="2">
        <v>45613</v>
      </c>
      <c r="J48" t="str">
        <f t="shared" si="0"/>
        <v>OK</v>
      </c>
      <c r="L48" t="str">
        <f t="shared" si="1"/>
        <v>OK</v>
      </c>
      <c r="M48" t="str">
        <f>IF(ISNA(VLOOKUP(B48,Clienti!A:A,1,FALSE)),"Lipsă","OK")</f>
        <v>OK</v>
      </c>
    </row>
    <row r="49" spans="1:13">
      <c r="A49">
        <v>63</v>
      </c>
      <c r="B49">
        <v>40</v>
      </c>
      <c r="C49">
        <v>7618.33</v>
      </c>
      <c r="D49">
        <v>544.16999999999996</v>
      </c>
      <c r="E49" s="2">
        <v>44621</v>
      </c>
      <c r="F49" s="2">
        <v>45041</v>
      </c>
      <c r="J49" t="str">
        <f t="shared" si="0"/>
        <v>OK</v>
      </c>
      <c r="L49" t="str">
        <f t="shared" si="1"/>
        <v>OK</v>
      </c>
      <c r="M49" t="str">
        <f>IF(ISNA(VLOOKUP(B49,Clienti!A:A,1,FALSE)),"Lipsă","OK")</f>
        <v>OK</v>
      </c>
    </row>
    <row r="50" spans="1:13">
      <c r="A50">
        <v>64</v>
      </c>
      <c r="B50">
        <v>41</v>
      </c>
      <c r="C50">
        <v>8261.2199999999993</v>
      </c>
      <c r="D50">
        <v>217.4</v>
      </c>
      <c r="E50" s="2">
        <v>44601</v>
      </c>
      <c r="F50" s="2">
        <v>45741</v>
      </c>
      <c r="J50" t="str">
        <f t="shared" si="0"/>
        <v>OK</v>
      </c>
      <c r="L50" t="str">
        <f t="shared" si="1"/>
        <v>OK</v>
      </c>
      <c r="M50" t="str">
        <f>IF(ISNA(VLOOKUP(B50,Clienti!A:A,1,FALSE)),"Lipsă","OK")</f>
        <v>OK</v>
      </c>
    </row>
    <row r="51" spans="1:13">
      <c r="A51">
        <v>65</v>
      </c>
      <c r="B51">
        <v>43</v>
      </c>
      <c r="C51">
        <v>35365.75</v>
      </c>
      <c r="D51">
        <v>609.75</v>
      </c>
      <c r="E51" s="2">
        <v>44690</v>
      </c>
      <c r="F51" s="2">
        <v>46430</v>
      </c>
      <c r="J51" t="str">
        <f t="shared" si="0"/>
        <v>OK</v>
      </c>
      <c r="L51" t="str">
        <f t="shared" si="1"/>
        <v>OK</v>
      </c>
      <c r="M51" t="str">
        <f>IF(ISNA(VLOOKUP(B51,Clienti!A:A,1,FALSE)),"Lipsă","OK")</f>
        <v>OK</v>
      </c>
    </row>
    <row r="52" spans="1:13">
      <c r="A52">
        <v>66</v>
      </c>
      <c r="B52">
        <v>44</v>
      </c>
      <c r="C52">
        <v>48651.56</v>
      </c>
      <c r="D52">
        <v>1013.57</v>
      </c>
      <c r="E52" s="2">
        <v>44646</v>
      </c>
      <c r="F52" s="2">
        <v>46086</v>
      </c>
      <c r="J52" t="str">
        <f t="shared" si="0"/>
        <v>OK</v>
      </c>
      <c r="L52" t="str">
        <f t="shared" si="1"/>
        <v>OK</v>
      </c>
      <c r="M52" t="str">
        <f>IF(ISNA(VLOOKUP(B52,Clienti!A:A,1,FALSE)),"Lipsă","OK")</f>
        <v>OK</v>
      </c>
    </row>
    <row r="53" spans="1:13">
      <c r="A53">
        <v>67</v>
      </c>
      <c r="B53">
        <v>45</v>
      </c>
      <c r="C53">
        <v>13454.85</v>
      </c>
      <c r="D53">
        <v>407.72</v>
      </c>
      <c r="E53" s="2">
        <v>44603</v>
      </c>
      <c r="F53" s="2">
        <v>45593</v>
      </c>
      <c r="J53" t="str">
        <f t="shared" si="0"/>
        <v>OK</v>
      </c>
      <c r="L53" t="str">
        <f t="shared" si="1"/>
        <v>OK</v>
      </c>
      <c r="M53" t="str">
        <f>IF(ISNA(VLOOKUP(B53,Clienti!A:A,1,FALSE)),"Lipsă","OK")</f>
        <v>OK</v>
      </c>
    </row>
    <row r="54" spans="1:13">
      <c r="A54">
        <v>68</v>
      </c>
      <c r="B54">
        <v>45</v>
      </c>
      <c r="C54">
        <v>17033.759999999998</v>
      </c>
      <c r="D54">
        <v>378.53</v>
      </c>
      <c r="E54" s="2">
        <v>44586</v>
      </c>
      <c r="F54" s="2">
        <v>45936</v>
      </c>
      <c r="J54" t="str">
        <f t="shared" si="0"/>
        <v>OK</v>
      </c>
      <c r="L54" t="str">
        <f t="shared" si="1"/>
        <v>OK</v>
      </c>
      <c r="M54" t="str">
        <f>IF(ISNA(VLOOKUP(B54,Clienti!A:A,1,FALSE)),"Lipsă","OK")</f>
        <v>OK</v>
      </c>
    </row>
    <row r="55" spans="1:13">
      <c r="A55">
        <v>69</v>
      </c>
      <c r="B55">
        <v>45</v>
      </c>
      <c r="C55">
        <v>24017.25</v>
      </c>
      <c r="D55">
        <v>461.87</v>
      </c>
      <c r="E55" s="2">
        <v>44854</v>
      </c>
      <c r="F55" s="2">
        <v>46414</v>
      </c>
      <c r="J55" t="str">
        <f t="shared" si="0"/>
        <v>OK</v>
      </c>
      <c r="L55" t="str">
        <f t="shared" si="1"/>
        <v>OK</v>
      </c>
      <c r="M55" t="str">
        <f>IF(ISNA(VLOOKUP(B55,Clienti!A:A,1,FALSE)),"Lipsă","OK")</f>
        <v>OK</v>
      </c>
    </row>
    <row r="56" spans="1:13">
      <c r="A56">
        <v>70</v>
      </c>
      <c r="B56">
        <v>46</v>
      </c>
      <c r="C56">
        <v>18017.11</v>
      </c>
      <c r="D56">
        <v>461.98</v>
      </c>
      <c r="E56" s="2">
        <v>44719</v>
      </c>
      <c r="F56" s="2">
        <v>45889</v>
      </c>
      <c r="J56" t="str">
        <f t="shared" si="0"/>
        <v>OK</v>
      </c>
      <c r="L56" t="str">
        <f t="shared" si="1"/>
        <v>OK</v>
      </c>
      <c r="M56" t="str">
        <f>IF(ISNA(VLOOKUP(B56,Clienti!A:A,1,FALSE)),"Lipsă","OK")</f>
        <v>OK</v>
      </c>
    </row>
    <row r="57" spans="1:13">
      <c r="A57">
        <v>71</v>
      </c>
      <c r="B57">
        <v>46</v>
      </c>
      <c r="C57">
        <v>7374.18</v>
      </c>
      <c r="D57">
        <v>153.63</v>
      </c>
      <c r="E57" s="2">
        <v>44760</v>
      </c>
      <c r="F57" s="2">
        <v>46200</v>
      </c>
      <c r="J57" t="str">
        <f t="shared" si="0"/>
        <v>OK</v>
      </c>
      <c r="L57" t="str">
        <f t="shared" si="1"/>
        <v>OK</v>
      </c>
      <c r="M57" t="str">
        <f>IF(ISNA(VLOOKUP(B57,Clienti!A:A,1,FALSE)),"Lipsă","OK")</f>
        <v>OK</v>
      </c>
    </row>
    <row r="58" spans="1:13">
      <c r="A58">
        <v>72</v>
      </c>
      <c r="B58">
        <v>46</v>
      </c>
      <c r="C58">
        <v>25271.68</v>
      </c>
      <c r="D58">
        <v>765.81</v>
      </c>
      <c r="E58" s="2">
        <v>44833</v>
      </c>
      <c r="F58" s="2">
        <v>45823</v>
      </c>
      <c r="J58" t="str">
        <f t="shared" si="0"/>
        <v>OK</v>
      </c>
      <c r="L58" t="str">
        <f t="shared" si="1"/>
        <v>OK</v>
      </c>
      <c r="M58" t="str">
        <f>IF(ISNA(VLOOKUP(B58,Clienti!A:A,1,FALSE)),"Lipsă","OK")</f>
        <v>OK</v>
      </c>
    </row>
    <row r="59" spans="1:13">
      <c r="A59">
        <v>73</v>
      </c>
      <c r="B59">
        <v>47</v>
      </c>
      <c r="C59">
        <v>10723.3</v>
      </c>
      <c r="D59">
        <v>243.71</v>
      </c>
      <c r="E59" s="2">
        <v>44826</v>
      </c>
      <c r="F59" s="2">
        <v>46146</v>
      </c>
      <c r="J59" t="str">
        <f t="shared" si="0"/>
        <v>OK</v>
      </c>
      <c r="L59" t="str">
        <f t="shared" si="1"/>
        <v>OK</v>
      </c>
      <c r="M59" t="str">
        <f>IF(ISNA(VLOOKUP(B59,Clienti!A:A,1,FALSE)),"Lipsă","OK")</f>
        <v>OK</v>
      </c>
    </row>
    <row r="60" spans="1:13">
      <c r="A60">
        <v>74</v>
      </c>
      <c r="B60">
        <v>47</v>
      </c>
      <c r="C60">
        <v>13454.51</v>
      </c>
      <c r="D60">
        <v>1121.21</v>
      </c>
      <c r="E60" s="2">
        <v>44841</v>
      </c>
      <c r="F60" s="2">
        <v>45201</v>
      </c>
      <c r="J60" t="str">
        <f t="shared" si="0"/>
        <v>OK</v>
      </c>
      <c r="L60" t="str">
        <f t="shared" si="1"/>
        <v>OK</v>
      </c>
      <c r="M60" t="str">
        <f>IF(ISNA(VLOOKUP(B60,Clienti!A:A,1,FALSE)),"Lipsă","OK")</f>
        <v>OK</v>
      </c>
    </row>
    <row r="61" spans="1:13">
      <c r="A61">
        <v>75</v>
      </c>
      <c r="B61">
        <v>48</v>
      </c>
      <c r="C61">
        <v>38604.32</v>
      </c>
      <c r="D61">
        <v>2270.84</v>
      </c>
      <c r="E61" s="2">
        <v>44866</v>
      </c>
      <c r="F61" s="2">
        <v>45376</v>
      </c>
      <c r="J61" t="str">
        <f t="shared" si="0"/>
        <v>OK</v>
      </c>
      <c r="L61" t="str">
        <f t="shared" si="1"/>
        <v>OK</v>
      </c>
      <c r="M61" t="str">
        <f>IF(ISNA(VLOOKUP(B61,Clienti!A:A,1,FALSE)),"Lipsă","OK")</f>
        <v>OK</v>
      </c>
    </row>
    <row r="62" spans="1:13">
      <c r="A62">
        <v>76</v>
      </c>
      <c r="B62">
        <v>48</v>
      </c>
      <c r="C62">
        <v>3357.8</v>
      </c>
      <c r="D62">
        <v>176.73</v>
      </c>
      <c r="E62" s="2">
        <v>44905</v>
      </c>
      <c r="F62" s="2">
        <v>45475</v>
      </c>
      <c r="J62" t="str">
        <f t="shared" si="0"/>
        <v>OK</v>
      </c>
      <c r="L62" t="str">
        <f t="shared" si="1"/>
        <v>OK</v>
      </c>
      <c r="M62" t="str">
        <f>IF(ISNA(VLOOKUP(B62,Clienti!A:A,1,FALSE)),"Lipsă","OK")</f>
        <v>OK</v>
      </c>
    </row>
    <row r="63" spans="1:13">
      <c r="A63">
        <v>77</v>
      </c>
      <c r="B63">
        <v>48</v>
      </c>
      <c r="C63">
        <v>33370.11</v>
      </c>
      <c r="D63">
        <v>878.16</v>
      </c>
      <c r="E63" s="2">
        <v>44828</v>
      </c>
      <c r="F63" s="2">
        <v>45968</v>
      </c>
      <c r="J63" t="str">
        <f t="shared" si="0"/>
        <v>OK</v>
      </c>
      <c r="L63" t="str">
        <f t="shared" si="1"/>
        <v>OK</v>
      </c>
      <c r="M63" t="str">
        <f>IF(ISNA(VLOOKUP(B63,Clienti!A:A,1,FALSE)),"Lipsă","OK")</f>
        <v>OK</v>
      </c>
    </row>
    <row r="64" spans="1:13">
      <c r="A64">
        <v>78</v>
      </c>
      <c r="B64">
        <v>49</v>
      </c>
      <c r="C64">
        <v>4350.3599999999997</v>
      </c>
      <c r="D64">
        <v>111.55</v>
      </c>
      <c r="E64" s="2">
        <v>44674</v>
      </c>
      <c r="F64" s="2">
        <v>45844</v>
      </c>
      <c r="J64" t="str">
        <f t="shared" si="0"/>
        <v>OK</v>
      </c>
      <c r="L64" t="str">
        <f t="shared" si="1"/>
        <v>OK</v>
      </c>
      <c r="M64" t="str">
        <f>IF(ISNA(VLOOKUP(B64,Clienti!A:A,1,FALSE)),"Lipsă","OK")</f>
        <v>OK</v>
      </c>
    </row>
    <row r="65" spans="1:13">
      <c r="A65">
        <v>79</v>
      </c>
      <c r="B65">
        <v>49</v>
      </c>
      <c r="C65">
        <v>32511.9</v>
      </c>
      <c r="D65">
        <v>1300.48</v>
      </c>
      <c r="E65" s="2">
        <v>44779</v>
      </c>
      <c r="F65" s="2">
        <v>45529</v>
      </c>
      <c r="J65" t="str">
        <f t="shared" si="0"/>
        <v>OK</v>
      </c>
      <c r="L65" t="str">
        <f t="shared" si="1"/>
        <v>OK</v>
      </c>
      <c r="M65" t="str">
        <f>IF(ISNA(VLOOKUP(B65,Clienti!A:A,1,FALSE)),"Lipsă","OK")</f>
        <v>OK</v>
      </c>
    </row>
    <row r="66" spans="1:13">
      <c r="A66">
        <v>80</v>
      </c>
      <c r="B66">
        <v>51</v>
      </c>
      <c r="C66">
        <v>15301.34</v>
      </c>
      <c r="D66">
        <v>437.18</v>
      </c>
      <c r="E66" s="2">
        <v>44642</v>
      </c>
      <c r="F66" s="2">
        <v>45692</v>
      </c>
      <c r="J66" t="str">
        <f t="shared" si="0"/>
        <v>OK</v>
      </c>
      <c r="L66" t="str">
        <f t="shared" si="1"/>
        <v>OK</v>
      </c>
      <c r="M66" t="str">
        <f>IF(ISNA(VLOOKUP(B66,Clienti!A:A,1,FALSE)),"Lipsă","OK")</f>
        <v>OK</v>
      </c>
    </row>
    <row r="67" spans="1:13">
      <c r="A67">
        <v>81</v>
      </c>
      <c r="B67">
        <v>51</v>
      </c>
      <c r="C67">
        <v>7933.82</v>
      </c>
      <c r="D67">
        <v>198.35</v>
      </c>
      <c r="E67" s="2">
        <v>44875</v>
      </c>
      <c r="F67" s="2">
        <v>46075</v>
      </c>
      <c r="J67" t="str">
        <f t="shared" ref="J67:J130" si="2">IF(D67&lt;0,"Greșit","OK")</f>
        <v>OK</v>
      </c>
      <c r="L67" t="str">
        <f t="shared" ref="L67:L130" si="3">IF(F67&gt;=E67,"OK","Greșit")</f>
        <v>OK</v>
      </c>
      <c r="M67" t="str">
        <f>IF(ISNA(VLOOKUP(B67,Clienti!A:A,1,FALSE)),"Lipsă","OK")</f>
        <v>OK</v>
      </c>
    </row>
    <row r="68" spans="1:13">
      <c r="A68">
        <v>82</v>
      </c>
      <c r="B68">
        <v>52</v>
      </c>
      <c r="C68">
        <v>47439.07</v>
      </c>
      <c r="D68">
        <v>1530.29</v>
      </c>
      <c r="E68" s="2">
        <v>44606</v>
      </c>
      <c r="F68" s="2">
        <v>45536</v>
      </c>
      <c r="J68" t="str">
        <f t="shared" si="2"/>
        <v>OK</v>
      </c>
      <c r="L68" t="str">
        <f t="shared" si="3"/>
        <v>OK</v>
      </c>
      <c r="M68" t="str">
        <f>IF(ISNA(VLOOKUP(B68,Clienti!A:A,1,FALSE)),"Lipsă","OK")</f>
        <v>OK</v>
      </c>
    </row>
    <row r="69" spans="1:13">
      <c r="A69">
        <v>83</v>
      </c>
      <c r="B69">
        <v>52</v>
      </c>
      <c r="C69">
        <v>34293.25</v>
      </c>
      <c r="D69">
        <v>1905.18</v>
      </c>
      <c r="E69" s="2">
        <v>44887</v>
      </c>
      <c r="F69" s="2">
        <v>45427</v>
      </c>
      <c r="J69" t="str">
        <f t="shared" si="2"/>
        <v>OK</v>
      </c>
      <c r="L69" t="str">
        <f t="shared" si="3"/>
        <v>OK</v>
      </c>
      <c r="M69" t="str">
        <f>IF(ISNA(VLOOKUP(B69,Clienti!A:A,1,FALSE)),"Lipsă","OK")</f>
        <v>OK</v>
      </c>
    </row>
    <row r="70" spans="1:13">
      <c r="A70">
        <v>84</v>
      </c>
      <c r="B70">
        <v>54</v>
      </c>
      <c r="C70">
        <v>31655.71</v>
      </c>
      <c r="D70">
        <v>1862.1</v>
      </c>
      <c r="E70" s="2">
        <v>44664</v>
      </c>
      <c r="F70" s="2">
        <v>45174</v>
      </c>
      <c r="J70" t="str">
        <f t="shared" si="2"/>
        <v>OK</v>
      </c>
      <c r="L70" t="str">
        <f t="shared" si="3"/>
        <v>OK</v>
      </c>
      <c r="M70" t="str">
        <f>IF(ISNA(VLOOKUP(B70,Clienti!A:A,1,FALSE)),"Lipsă","OK")</f>
        <v>OK</v>
      </c>
    </row>
    <row r="71" spans="1:13">
      <c r="A71">
        <v>85</v>
      </c>
      <c r="B71">
        <v>54</v>
      </c>
      <c r="C71">
        <v>32164.76</v>
      </c>
      <c r="D71">
        <v>748.02</v>
      </c>
      <c r="E71" s="2">
        <v>44860</v>
      </c>
      <c r="F71" s="2">
        <v>46150</v>
      </c>
      <c r="J71" t="str">
        <f t="shared" si="2"/>
        <v>OK</v>
      </c>
      <c r="L71" t="str">
        <f t="shared" si="3"/>
        <v>OK</v>
      </c>
      <c r="M71" t="str">
        <f>IF(ISNA(VLOOKUP(B71,Clienti!A:A,1,FALSE)),"Lipsă","OK")</f>
        <v>OK</v>
      </c>
    </row>
    <row r="72" spans="1:13">
      <c r="A72">
        <v>86</v>
      </c>
      <c r="B72">
        <v>55</v>
      </c>
      <c r="C72">
        <v>10604.24</v>
      </c>
      <c r="D72">
        <v>504.96</v>
      </c>
      <c r="E72" s="2">
        <v>44714</v>
      </c>
      <c r="F72" s="2">
        <v>45344</v>
      </c>
      <c r="J72" t="str">
        <f t="shared" si="2"/>
        <v>OK</v>
      </c>
      <c r="L72" t="str">
        <f t="shared" si="3"/>
        <v>OK</v>
      </c>
      <c r="M72" t="str">
        <f>IF(ISNA(VLOOKUP(B72,Clienti!A:A,1,FALSE)),"Lipsă","OK")</f>
        <v>OK</v>
      </c>
    </row>
    <row r="73" spans="1:13">
      <c r="A73">
        <v>87</v>
      </c>
      <c r="B73">
        <v>56</v>
      </c>
      <c r="C73">
        <v>48747.15</v>
      </c>
      <c r="D73">
        <v>3481.94</v>
      </c>
      <c r="E73" s="2">
        <v>44602</v>
      </c>
      <c r="F73" s="2">
        <v>45022</v>
      </c>
      <c r="J73" t="str">
        <f t="shared" si="2"/>
        <v>OK</v>
      </c>
      <c r="L73" t="str">
        <f t="shared" si="3"/>
        <v>OK</v>
      </c>
      <c r="M73" t="str">
        <f>IF(ISNA(VLOOKUP(B73,Clienti!A:A,1,FALSE)),"Lipsă","OK")</f>
        <v>OK</v>
      </c>
    </row>
    <row r="74" spans="1:13">
      <c r="A74">
        <v>88</v>
      </c>
      <c r="B74">
        <v>56</v>
      </c>
      <c r="C74">
        <v>13763.32</v>
      </c>
      <c r="D74">
        <v>573.47</v>
      </c>
      <c r="E74" s="2">
        <v>44844</v>
      </c>
      <c r="F74" s="2">
        <v>45564</v>
      </c>
      <c r="J74" t="str">
        <f t="shared" si="2"/>
        <v>OK</v>
      </c>
      <c r="L74" t="str">
        <f t="shared" si="3"/>
        <v>OK</v>
      </c>
      <c r="M74" t="str">
        <f>IF(ISNA(VLOOKUP(B74,Clienti!A:A,1,FALSE)),"Lipsă","OK")</f>
        <v>OK</v>
      </c>
    </row>
    <row r="75" spans="1:13">
      <c r="A75">
        <v>89</v>
      </c>
      <c r="B75">
        <v>57</v>
      </c>
      <c r="C75">
        <v>5645.91</v>
      </c>
      <c r="D75">
        <v>112.92</v>
      </c>
      <c r="E75" s="2">
        <v>44902</v>
      </c>
      <c r="F75" s="2">
        <v>46402</v>
      </c>
      <c r="J75" t="str">
        <f t="shared" si="2"/>
        <v>OK</v>
      </c>
      <c r="L75" t="str">
        <f t="shared" si="3"/>
        <v>OK</v>
      </c>
      <c r="M75" t="str">
        <f>IF(ISNA(VLOOKUP(B75,Clienti!A:A,1,FALSE)),"Lipsă","OK")</f>
        <v>OK</v>
      </c>
    </row>
    <row r="76" spans="1:13">
      <c r="A76">
        <v>90</v>
      </c>
      <c r="B76">
        <v>57</v>
      </c>
      <c r="C76">
        <v>47404.480000000003</v>
      </c>
      <c r="D76">
        <v>1215.5</v>
      </c>
      <c r="E76" s="2">
        <v>44619</v>
      </c>
      <c r="F76" s="2">
        <v>45789</v>
      </c>
      <c r="J76" t="str">
        <f t="shared" si="2"/>
        <v>OK</v>
      </c>
      <c r="L76" t="str">
        <f t="shared" si="3"/>
        <v>OK</v>
      </c>
      <c r="M76" t="str">
        <f>IF(ISNA(VLOOKUP(B76,Clienti!A:A,1,FALSE)),"Lipsă","OK")</f>
        <v>OK</v>
      </c>
    </row>
    <row r="77" spans="1:13">
      <c r="A77">
        <v>91</v>
      </c>
      <c r="B77">
        <v>57</v>
      </c>
      <c r="C77">
        <v>34451.15</v>
      </c>
      <c r="D77">
        <v>1187.97</v>
      </c>
      <c r="E77" s="2">
        <v>44901</v>
      </c>
      <c r="F77" s="2">
        <v>45771</v>
      </c>
      <c r="J77" t="str">
        <f t="shared" si="2"/>
        <v>OK</v>
      </c>
      <c r="L77" t="str">
        <f t="shared" si="3"/>
        <v>OK</v>
      </c>
      <c r="M77" t="str">
        <f>IF(ISNA(VLOOKUP(B77,Clienti!A:A,1,FALSE)),"Lipsă","OK")</f>
        <v>OK</v>
      </c>
    </row>
    <row r="78" spans="1:13">
      <c r="A78">
        <v>92</v>
      </c>
      <c r="B78">
        <v>58</v>
      </c>
      <c r="C78">
        <v>40891.879999999997</v>
      </c>
      <c r="D78">
        <v>1239.1500000000001</v>
      </c>
      <c r="E78" s="2">
        <v>44727</v>
      </c>
      <c r="F78" s="2">
        <v>45717</v>
      </c>
      <c r="J78" t="str">
        <f t="shared" si="2"/>
        <v>OK</v>
      </c>
      <c r="L78" t="str">
        <f t="shared" si="3"/>
        <v>OK</v>
      </c>
      <c r="M78" t="str">
        <f>IF(ISNA(VLOOKUP(B78,Clienti!A:A,1,FALSE)),"Lipsă","OK")</f>
        <v>OK</v>
      </c>
    </row>
    <row r="79" spans="1:13">
      <c r="A79">
        <v>93</v>
      </c>
      <c r="B79">
        <v>59</v>
      </c>
      <c r="C79">
        <v>20543.419999999998</v>
      </c>
      <c r="D79">
        <v>555.23</v>
      </c>
      <c r="E79" s="2">
        <v>44778</v>
      </c>
      <c r="F79" s="2">
        <v>45888</v>
      </c>
      <c r="J79" t="str">
        <f t="shared" si="2"/>
        <v>OK</v>
      </c>
      <c r="L79" t="str">
        <f t="shared" si="3"/>
        <v>OK</v>
      </c>
      <c r="M79" t="str">
        <f>IF(ISNA(VLOOKUP(B79,Clienti!A:A,1,FALSE)),"Lipsă","OK")</f>
        <v>OK</v>
      </c>
    </row>
    <row r="80" spans="1:13">
      <c r="A80">
        <v>94</v>
      </c>
      <c r="B80">
        <v>59</v>
      </c>
      <c r="C80">
        <v>23904.99</v>
      </c>
      <c r="D80">
        <v>468.73</v>
      </c>
      <c r="E80" s="2">
        <v>44643</v>
      </c>
      <c r="F80" s="2">
        <v>46173</v>
      </c>
      <c r="J80" t="str">
        <f t="shared" si="2"/>
        <v>OK</v>
      </c>
      <c r="L80" t="str">
        <f t="shared" si="3"/>
        <v>OK</v>
      </c>
      <c r="M80" t="str">
        <f>IF(ISNA(VLOOKUP(B80,Clienti!A:A,1,FALSE)),"Lipsă","OK")</f>
        <v>OK</v>
      </c>
    </row>
    <row r="81" spans="1:13">
      <c r="A81">
        <v>95</v>
      </c>
      <c r="B81">
        <v>59</v>
      </c>
      <c r="C81">
        <v>42543.24</v>
      </c>
      <c r="D81">
        <v>2025.87</v>
      </c>
      <c r="E81" s="2">
        <v>44609</v>
      </c>
      <c r="F81" s="2">
        <v>45239</v>
      </c>
      <c r="J81" t="str">
        <f t="shared" si="2"/>
        <v>OK</v>
      </c>
      <c r="L81" t="str">
        <f t="shared" si="3"/>
        <v>OK</v>
      </c>
      <c r="M81" t="str">
        <f>IF(ISNA(VLOOKUP(B81,Clienti!A:A,1,FALSE)),"Lipsă","OK")</f>
        <v>OK</v>
      </c>
    </row>
    <row r="82" spans="1:13">
      <c r="A82">
        <v>96</v>
      </c>
      <c r="B82">
        <v>61</v>
      </c>
      <c r="C82">
        <v>15695.34</v>
      </c>
      <c r="D82">
        <v>1207.33</v>
      </c>
      <c r="E82" s="2">
        <v>44735</v>
      </c>
      <c r="F82" s="2">
        <v>45125</v>
      </c>
      <c r="J82" t="str">
        <f t="shared" si="2"/>
        <v>OK</v>
      </c>
      <c r="L82" t="str">
        <f t="shared" si="3"/>
        <v>OK</v>
      </c>
      <c r="M82" t="str">
        <f>IF(ISNA(VLOOKUP(B82,Clienti!A:A,1,FALSE)),"Lipsă","OK")</f>
        <v>OK</v>
      </c>
    </row>
    <row r="83" spans="1:13">
      <c r="A83">
        <v>97</v>
      </c>
      <c r="B83">
        <v>61</v>
      </c>
      <c r="C83">
        <v>12325.71</v>
      </c>
      <c r="D83">
        <v>456.51</v>
      </c>
      <c r="E83" s="2">
        <v>44579</v>
      </c>
      <c r="F83" s="2">
        <v>45389</v>
      </c>
      <c r="J83" t="str">
        <f t="shared" si="2"/>
        <v>OK</v>
      </c>
      <c r="L83" t="str">
        <f t="shared" si="3"/>
        <v>OK</v>
      </c>
      <c r="M83" t="str">
        <f>IF(ISNA(VLOOKUP(B83,Clienti!A:A,1,FALSE)),"Lipsă","OK")</f>
        <v>OK</v>
      </c>
    </row>
    <row r="84" spans="1:13">
      <c r="A84">
        <v>98</v>
      </c>
      <c r="B84">
        <v>61</v>
      </c>
      <c r="C84">
        <v>3009.62</v>
      </c>
      <c r="D84">
        <v>88.52</v>
      </c>
      <c r="E84" s="2">
        <v>44563</v>
      </c>
      <c r="F84" s="2">
        <v>45583</v>
      </c>
      <c r="J84" t="str">
        <f t="shared" si="2"/>
        <v>OK</v>
      </c>
      <c r="L84" t="str">
        <f t="shared" si="3"/>
        <v>OK</v>
      </c>
      <c r="M84" t="str">
        <f>IF(ISNA(VLOOKUP(B84,Clienti!A:A,1,FALSE)),"Lipsă","OK")</f>
        <v>OK</v>
      </c>
    </row>
    <row r="85" spans="1:13">
      <c r="A85">
        <v>99</v>
      </c>
      <c r="B85">
        <v>62</v>
      </c>
      <c r="C85">
        <v>34572.620000000003</v>
      </c>
      <c r="D85">
        <v>585.98</v>
      </c>
      <c r="E85" s="2">
        <v>44913</v>
      </c>
      <c r="F85" s="2">
        <v>46683</v>
      </c>
      <c r="J85" t="str">
        <f t="shared" si="2"/>
        <v>OK</v>
      </c>
      <c r="L85" t="str">
        <f t="shared" si="3"/>
        <v>OK</v>
      </c>
      <c r="M85" t="str">
        <f>IF(ISNA(VLOOKUP(B85,Clienti!A:A,1,FALSE)),"Lipsă","OK")</f>
        <v>OK</v>
      </c>
    </row>
    <row r="86" spans="1:13">
      <c r="A86">
        <v>100</v>
      </c>
      <c r="B86">
        <v>62</v>
      </c>
      <c r="C86">
        <v>42628.959999999999</v>
      </c>
      <c r="D86">
        <v>947.31</v>
      </c>
      <c r="E86" s="2">
        <v>44754</v>
      </c>
      <c r="F86" s="2">
        <v>46104</v>
      </c>
      <c r="J86" t="str">
        <f t="shared" si="2"/>
        <v>OK</v>
      </c>
      <c r="L86" t="str">
        <f t="shared" si="3"/>
        <v>OK</v>
      </c>
      <c r="M86" t="str">
        <f>IF(ISNA(VLOOKUP(B86,Clienti!A:A,1,FALSE)),"Lipsă","OK")</f>
        <v>OK</v>
      </c>
    </row>
    <row r="87" spans="1:13">
      <c r="A87">
        <v>101</v>
      </c>
      <c r="B87">
        <v>64</v>
      </c>
      <c r="C87">
        <v>35530.050000000003</v>
      </c>
      <c r="D87">
        <v>2220.63</v>
      </c>
      <c r="E87" s="2">
        <v>44881</v>
      </c>
      <c r="F87" s="2">
        <v>45361</v>
      </c>
      <c r="J87" t="str">
        <f t="shared" si="2"/>
        <v>OK</v>
      </c>
      <c r="L87" t="str">
        <f t="shared" si="3"/>
        <v>OK</v>
      </c>
      <c r="M87" t="str">
        <f>IF(ISNA(VLOOKUP(B87,Clienti!A:A,1,FALSE)),"Lipsă","OK")</f>
        <v>OK</v>
      </c>
    </row>
    <row r="88" spans="1:13">
      <c r="A88">
        <v>102</v>
      </c>
      <c r="B88">
        <v>64</v>
      </c>
      <c r="C88">
        <v>13030.3</v>
      </c>
      <c r="D88">
        <v>245.85</v>
      </c>
      <c r="E88" s="2">
        <v>44906</v>
      </c>
      <c r="F88" s="2">
        <v>46496</v>
      </c>
      <c r="J88" t="str">
        <f t="shared" si="2"/>
        <v>OK</v>
      </c>
      <c r="L88" t="str">
        <f t="shared" si="3"/>
        <v>OK</v>
      </c>
      <c r="M88" t="str">
        <f>IF(ISNA(VLOOKUP(B88,Clienti!A:A,1,FALSE)),"Lipsă","OK")</f>
        <v>OK</v>
      </c>
    </row>
    <row r="89" spans="1:13">
      <c r="A89">
        <v>103</v>
      </c>
      <c r="B89">
        <v>66</v>
      </c>
      <c r="C89">
        <v>18203.11</v>
      </c>
      <c r="D89">
        <v>491.98</v>
      </c>
      <c r="E89" s="2">
        <v>44562</v>
      </c>
      <c r="F89" s="2">
        <v>45672</v>
      </c>
      <c r="J89" t="str">
        <f t="shared" si="2"/>
        <v>OK</v>
      </c>
      <c r="L89" t="str">
        <f t="shared" si="3"/>
        <v>OK</v>
      </c>
      <c r="M89" t="str">
        <f>IF(ISNA(VLOOKUP(B89,Clienti!A:A,1,FALSE)),"Lipsă","OK")</f>
        <v>OK</v>
      </c>
    </row>
    <row r="90" spans="1:13">
      <c r="A90">
        <v>104</v>
      </c>
      <c r="B90">
        <v>66</v>
      </c>
      <c r="C90">
        <v>41896.129999999997</v>
      </c>
      <c r="D90">
        <v>710.1</v>
      </c>
      <c r="E90" s="2">
        <v>44741</v>
      </c>
      <c r="F90" s="2">
        <v>46511</v>
      </c>
      <c r="J90" t="str">
        <f t="shared" si="2"/>
        <v>OK</v>
      </c>
      <c r="L90" t="str">
        <f t="shared" si="3"/>
        <v>OK</v>
      </c>
      <c r="M90" t="str">
        <f>IF(ISNA(VLOOKUP(B90,Clienti!A:A,1,FALSE)),"Lipsă","OK")</f>
        <v>OK</v>
      </c>
    </row>
    <row r="91" spans="1:13">
      <c r="A91">
        <v>105</v>
      </c>
      <c r="B91">
        <v>68</v>
      </c>
      <c r="C91">
        <v>37440.15</v>
      </c>
      <c r="D91">
        <v>764.08</v>
      </c>
      <c r="E91" s="2">
        <v>44726</v>
      </c>
      <c r="F91" s="2">
        <v>46196</v>
      </c>
      <c r="J91" t="str">
        <f t="shared" si="2"/>
        <v>OK</v>
      </c>
      <c r="L91" t="str">
        <f t="shared" si="3"/>
        <v>OK</v>
      </c>
      <c r="M91" t="str">
        <f>IF(ISNA(VLOOKUP(B91,Clienti!A:A,1,FALSE)),"Lipsă","OK")</f>
        <v>OK</v>
      </c>
    </row>
    <row r="92" spans="1:13">
      <c r="A92">
        <v>106</v>
      </c>
      <c r="B92">
        <v>69</v>
      </c>
      <c r="C92">
        <v>12998.76</v>
      </c>
      <c r="D92">
        <v>295.43</v>
      </c>
      <c r="E92" s="2">
        <v>44848</v>
      </c>
      <c r="F92" s="2">
        <v>46168</v>
      </c>
      <c r="J92" t="str">
        <f t="shared" si="2"/>
        <v>OK</v>
      </c>
      <c r="L92" t="str">
        <f t="shared" si="3"/>
        <v>OK</v>
      </c>
      <c r="M92" t="str">
        <f>IF(ISNA(VLOOKUP(B92,Clienti!A:A,1,FALSE)),"Lipsă","OK")</f>
        <v>OK</v>
      </c>
    </row>
    <row r="93" spans="1:13">
      <c r="A93">
        <v>107</v>
      </c>
      <c r="B93">
        <v>71</v>
      </c>
      <c r="C93">
        <v>19675.12</v>
      </c>
      <c r="D93">
        <v>562.15</v>
      </c>
      <c r="E93" s="2">
        <v>44638</v>
      </c>
      <c r="F93" s="2">
        <v>45688</v>
      </c>
      <c r="J93" t="str">
        <f t="shared" si="2"/>
        <v>OK</v>
      </c>
      <c r="L93" t="str">
        <f t="shared" si="3"/>
        <v>OK</v>
      </c>
      <c r="M93" t="str">
        <f>IF(ISNA(VLOOKUP(B93,Clienti!A:A,1,FALSE)),"Lipsă","OK")</f>
        <v>OK</v>
      </c>
    </row>
    <row r="94" spans="1:13">
      <c r="A94">
        <v>108</v>
      </c>
      <c r="B94">
        <v>72</v>
      </c>
      <c r="C94">
        <v>17773.189999999999</v>
      </c>
      <c r="D94">
        <v>335.34</v>
      </c>
      <c r="E94" s="2">
        <v>44706</v>
      </c>
      <c r="F94" s="2">
        <v>46296</v>
      </c>
      <c r="J94" t="str">
        <f t="shared" si="2"/>
        <v>OK</v>
      </c>
      <c r="L94" t="str">
        <f t="shared" si="3"/>
        <v>OK</v>
      </c>
      <c r="M94" t="str">
        <f>IF(ISNA(VLOOKUP(B94,Clienti!A:A,1,FALSE)),"Lipsă","OK")</f>
        <v>OK</v>
      </c>
    </row>
    <row r="95" spans="1:13">
      <c r="A95">
        <v>109</v>
      </c>
      <c r="B95">
        <v>72</v>
      </c>
      <c r="C95">
        <v>44852.41</v>
      </c>
      <c r="D95">
        <v>815.5</v>
      </c>
      <c r="E95" s="2">
        <v>44732</v>
      </c>
      <c r="F95" s="2">
        <v>46382</v>
      </c>
      <c r="J95" t="str">
        <f t="shared" si="2"/>
        <v>OK</v>
      </c>
      <c r="L95" t="str">
        <f t="shared" si="3"/>
        <v>OK</v>
      </c>
      <c r="M95" t="str">
        <f>IF(ISNA(VLOOKUP(B95,Clienti!A:A,1,FALSE)),"Lipsă","OK")</f>
        <v>OK</v>
      </c>
    </row>
    <row r="96" spans="1:13">
      <c r="A96">
        <v>110</v>
      </c>
      <c r="B96">
        <v>73</v>
      </c>
      <c r="C96">
        <v>4981.71</v>
      </c>
      <c r="D96">
        <v>237.22</v>
      </c>
      <c r="E96" s="2">
        <v>44850</v>
      </c>
      <c r="F96" s="2">
        <v>45480</v>
      </c>
      <c r="J96" t="str">
        <f t="shared" si="2"/>
        <v>OK</v>
      </c>
      <c r="L96" t="str">
        <f t="shared" si="3"/>
        <v>OK</v>
      </c>
      <c r="M96" t="str">
        <f>IF(ISNA(VLOOKUP(B96,Clienti!A:A,1,FALSE)),"Lipsă","OK")</f>
        <v>OK</v>
      </c>
    </row>
    <row r="97" spans="1:13">
      <c r="A97">
        <v>111</v>
      </c>
      <c r="B97">
        <v>74</v>
      </c>
      <c r="C97">
        <v>12367.88</v>
      </c>
      <c r="D97">
        <v>398.96</v>
      </c>
      <c r="E97" s="2">
        <v>44791</v>
      </c>
      <c r="F97" s="2">
        <v>45721</v>
      </c>
      <c r="J97" t="str">
        <f t="shared" si="2"/>
        <v>OK</v>
      </c>
      <c r="L97" t="str">
        <f t="shared" si="3"/>
        <v>OK</v>
      </c>
      <c r="M97" t="str">
        <f>IF(ISNA(VLOOKUP(B97,Clienti!A:A,1,FALSE)),"Lipsă","OK")</f>
        <v>OK</v>
      </c>
    </row>
    <row r="98" spans="1:13">
      <c r="A98">
        <v>112</v>
      </c>
      <c r="B98">
        <v>74</v>
      </c>
      <c r="C98">
        <v>6243.04</v>
      </c>
      <c r="D98">
        <v>390.19</v>
      </c>
      <c r="E98" s="2">
        <v>44910</v>
      </c>
      <c r="F98" s="2">
        <v>45390</v>
      </c>
      <c r="J98" t="str">
        <f t="shared" si="2"/>
        <v>OK</v>
      </c>
      <c r="L98" t="str">
        <f t="shared" si="3"/>
        <v>OK</v>
      </c>
      <c r="M98" t="str">
        <f>IF(ISNA(VLOOKUP(B98,Clienti!A:A,1,FALSE)),"Lipsă","OK")</f>
        <v>OK</v>
      </c>
    </row>
    <row r="99" spans="1:13">
      <c r="A99">
        <v>113</v>
      </c>
      <c r="B99">
        <v>74</v>
      </c>
      <c r="C99">
        <v>18542.46</v>
      </c>
      <c r="D99">
        <v>662.23</v>
      </c>
      <c r="E99" s="2">
        <v>44630</v>
      </c>
      <c r="F99" s="2">
        <v>45470</v>
      </c>
      <c r="J99" t="str">
        <f t="shared" si="2"/>
        <v>OK</v>
      </c>
      <c r="L99" t="str">
        <f t="shared" si="3"/>
        <v>OK</v>
      </c>
      <c r="M99" t="str">
        <f>IF(ISNA(VLOOKUP(B99,Clienti!A:A,1,FALSE)),"Lipsă","OK")</f>
        <v>OK</v>
      </c>
    </row>
    <row r="100" spans="1:13">
      <c r="A100">
        <v>114</v>
      </c>
      <c r="B100">
        <v>76</v>
      </c>
      <c r="C100">
        <v>10793.71</v>
      </c>
      <c r="D100">
        <v>513.99</v>
      </c>
      <c r="E100" s="2">
        <v>44769</v>
      </c>
      <c r="F100" s="2">
        <v>45399</v>
      </c>
      <c r="J100" t="str">
        <f t="shared" si="2"/>
        <v>OK</v>
      </c>
      <c r="L100" t="str">
        <f t="shared" si="3"/>
        <v>OK</v>
      </c>
      <c r="M100" t="str">
        <f>IF(ISNA(VLOOKUP(B100,Clienti!A:A,1,FALSE)),"Lipsă","OK")</f>
        <v>OK</v>
      </c>
    </row>
    <row r="101" spans="1:13">
      <c r="A101">
        <v>115</v>
      </c>
      <c r="B101">
        <v>77</v>
      </c>
      <c r="C101">
        <v>12177.74</v>
      </c>
      <c r="D101">
        <v>507.41</v>
      </c>
      <c r="E101" s="2">
        <v>44884</v>
      </c>
      <c r="F101" s="2">
        <v>45604</v>
      </c>
      <c r="J101" t="str">
        <f t="shared" si="2"/>
        <v>OK</v>
      </c>
      <c r="L101" t="str">
        <f t="shared" si="3"/>
        <v>OK</v>
      </c>
      <c r="M101" t="str">
        <f>IF(ISNA(VLOOKUP(B101,Clienti!A:A,1,FALSE)),"Lipsă","OK")</f>
        <v>OK</v>
      </c>
    </row>
    <row r="102" spans="1:13">
      <c r="A102">
        <v>116</v>
      </c>
      <c r="B102">
        <v>78</v>
      </c>
      <c r="C102">
        <v>1090.77</v>
      </c>
      <c r="D102">
        <v>29.48</v>
      </c>
      <c r="E102" s="2">
        <v>44880</v>
      </c>
      <c r="F102" s="2">
        <v>45990</v>
      </c>
      <c r="J102" t="str">
        <f t="shared" si="2"/>
        <v>OK</v>
      </c>
      <c r="L102" t="str">
        <f t="shared" si="3"/>
        <v>OK</v>
      </c>
      <c r="M102" t="str">
        <f>IF(ISNA(VLOOKUP(B102,Clienti!A:A,1,FALSE)),"Lipsă","OK")</f>
        <v>OK</v>
      </c>
    </row>
    <row r="103" spans="1:13">
      <c r="A103">
        <v>117</v>
      </c>
      <c r="B103">
        <v>79</v>
      </c>
      <c r="C103">
        <v>26837.96</v>
      </c>
      <c r="D103">
        <v>725.35</v>
      </c>
      <c r="E103" s="2">
        <v>44719</v>
      </c>
      <c r="F103" s="2">
        <v>45829</v>
      </c>
      <c r="J103" t="str">
        <f t="shared" si="2"/>
        <v>OK</v>
      </c>
      <c r="L103" t="str">
        <f t="shared" si="3"/>
        <v>OK</v>
      </c>
      <c r="M103" t="str">
        <f>IF(ISNA(VLOOKUP(B103,Clienti!A:A,1,FALSE)),"Lipsă","OK")</f>
        <v>OK</v>
      </c>
    </row>
    <row r="104" spans="1:13">
      <c r="A104">
        <v>118</v>
      </c>
      <c r="B104">
        <v>80</v>
      </c>
      <c r="C104">
        <v>24739.599999999999</v>
      </c>
      <c r="D104">
        <v>575.34</v>
      </c>
      <c r="E104" s="2">
        <v>44562</v>
      </c>
      <c r="F104" s="2">
        <v>45852</v>
      </c>
      <c r="J104" t="str">
        <f t="shared" si="2"/>
        <v>OK</v>
      </c>
      <c r="L104" t="str">
        <f t="shared" si="3"/>
        <v>OK</v>
      </c>
      <c r="M104" t="str">
        <f>IF(ISNA(VLOOKUP(B104,Clienti!A:A,1,FALSE)),"Lipsă","OK")</f>
        <v>OK</v>
      </c>
    </row>
    <row r="105" spans="1:13">
      <c r="A105">
        <v>119</v>
      </c>
      <c r="B105">
        <v>83</v>
      </c>
      <c r="C105">
        <v>24788.44</v>
      </c>
      <c r="D105">
        <v>486.05</v>
      </c>
      <c r="E105" s="2">
        <v>44826</v>
      </c>
      <c r="F105" s="2">
        <v>46356</v>
      </c>
      <c r="J105" t="str">
        <f t="shared" si="2"/>
        <v>OK</v>
      </c>
      <c r="L105" t="str">
        <f t="shared" si="3"/>
        <v>OK</v>
      </c>
      <c r="M105" t="str">
        <f>IF(ISNA(VLOOKUP(B105,Clienti!A:A,1,FALSE)),"Lipsă","OK")</f>
        <v>OK</v>
      </c>
    </row>
    <row r="106" spans="1:13">
      <c r="A106">
        <v>120</v>
      </c>
      <c r="B106">
        <v>83</v>
      </c>
      <c r="C106">
        <v>42296.19</v>
      </c>
      <c r="D106">
        <v>1762.34</v>
      </c>
      <c r="E106" s="2">
        <v>44772</v>
      </c>
      <c r="F106" s="2">
        <v>45492</v>
      </c>
      <c r="J106" t="str">
        <f t="shared" si="2"/>
        <v>OK</v>
      </c>
      <c r="L106" t="str">
        <f t="shared" si="3"/>
        <v>OK</v>
      </c>
      <c r="M106" t="str">
        <f>IF(ISNA(VLOOKUP(B106,Clienti!A:A,1,FALSE)),"Lipsă","OK")</f>
        <v>OK</v>
      </c>
    </row>
    <row r="107" spans="1:13">
      <c r="A107">
        <v>121</v>
      </c>
      <c r="B107">
        <v>84</v>
      </c>
      <c r="C107">
        <v>13164.96</v>
      </c>
      <c r="D107">
        <v>329.12</v>
      </c>
      <c r="E107" s="2">
        <v>44716</v>
      </c>
      <c r="F107" s="2">
        <v>45916</v>
      </c>
      <c r="J107" t="str">
        <f t="shared" si="2"/>
        <v>OK</v>
      </c>
      <c r="L107" t="str">
        <f t="shared" si="3"/>
        <v>OK</v>
      </c>
      <c r="M107" t="str">
        <f>IF(ISNA(VLOOKUP(B107,Clienti!A:A,1,FALSE)),"Lipsă","OK")</f>
        <v>OK</v>
      </c>
    </row>
    <row r="108" spans="1:13">
      <c r="A108">
        <v>122</v>
      </c>
      <c r="B108">
        <v>84</v>
      </c>
      <c r="C108">
        <v>33830.22</v>
      </c>
      <c r="D108">
        <v>563.84</v>
      </c>
      <c r="E108" s="2">
        <v>44661</v>
      </c>
      <c r="F108" s="2">
        <v>46461</v>
      </c>
      <c r="J108" t="str">
        <f t="shared" si="2"/>
        <v>OK</v>
      </c>
      <c r="L108" t="str">
        <f t="shared" si="3"/>
        <v>OK</v>
      </c>
      <c r="M108" t="str">
        <f>IF(ISNA(VLOOKUP(B108,Clienti!A:A,1,FALSE)),"Lipsă","OK")</f>
        <v>OK</v>
      </c>
    </row>
    <row r="109" spans="1:13">
      <c r="A109">
        <v>123</v>
      </c>
      <c r="B109">
        <v>84</v>
      </c>
      <c r="C109">
        <v>9608.41</v>
      </c>
      <c r="D109">
        <v>259.69</v>
      </c>
      <c r="E109" s="2">
        <v>44618</v>
      </c>
      <c r="F109" s="2">
        <v>45728</v>
      </c>
      <c r="J109" t="str">
        <f t="shared" si="2"/>
        <v>OK</v>
      </c>
      <c r="L109" t="str">
        <f t="shared" si="3"/>
        <v>OK</v>
      </c>
      <c r="M109" t="str">
        <f>IF(ISNA(VLOOKUP(B109,Clienti!A:A,1,FALSE)),"Lipsă","OK")</f>
        <v>OK</v>
      </c>
    </row>
    <row r="110" spans="1:13">
      <c r="A110">
        <v>124</v>
      </c>
      <c r="B110">
        <v>85</v>
      </c>
      <c r="C110">
        <v>47467.87</v>
      </c>
      <c r="D110">
        <v>1695.28</v>
      </c>
      <c r="E110" s="2">
        <v>44729</v>
      </c>
      <c r="F110" s="2">
        <v>45569</v>
      </c>
      <c r="J110" t="str">
        <f t="shared" si="2"/>
        <v>OK</v>
      </c>
      <c r="L110" t="str">
        <f t="shared" si="3"/>
        <v>OK</v>
      </c>
      <c r="M110" t="str">
        <f>IF(ISNA(VLOOKUP(B110,Clienti!A:A,1,FALSE)),"Lipsă","OK")</f>
        <v>OK</v>
      </c>
    </row>
    <row r="111" spans="1:13">
      <c r="A111">
        <v>125</v>
      </c>
      <c r="B111">
        <v>85</v>
      </c>
      <c r="C111">
        <v>26344.77</v>
      </c>
      <c r="D111">
        <v>878.16</v>
      </c>
      <c r="E111" s="2">
        <v>44834</v>
      </c>
      <c r="F111" s="2">
        <v>45734</v>
      </c>
      <c r="J111" t="str">
        <f t="shared" si="2"/>
        <v>OK</v>
      </c>
      <c r="L111" t="str">
        <f t="shared" si="3"/>
        <v>OK</v>
      </c>
      <c r="M111" t="str">
        <f>IF(ISNA(VLOOKUP(B111,Clienti!A:A,1,FALSE)),"Lipsă","OK")</f>
        <v>OK</v>
      </c>
    </row>
    <row r="112" spans="1:13">
      <c r="A112">
        <v>126</v>
      </c>
      <c r="B112">
        <v>86</v>
      </c>
      <c r="C112">
        <v>48928.32</v>
      </c>
      <c r="D112">
        <v>906.08</v>
      </c>
      <c r="E112" s="2">
        <v>44782</v>
      </c>
      <c r="F112" s="2">
        <v>46402</v>
      </c>
      <c r="J112" t="str">
        <f t="shared" si="2"/>
        <v>OK</v>
      </c>
      <c r="L112" t="str">
        <f t="shared" si="3"/>
        <v>OK</v>
      </c>
      <c r="M112" t="str">
        <f>IF(ISNA(VLOOKUP(B112,Clienti!A:A,1,FALSE)),"Lipsă","OK")</f>
        <v>OK</v>
      </c>
    </row>
    <row r="113" spans="1:13">
      <c r="A113">
        <v>127</v>
      </c>
      <c r="B113">
        <v>87</v>
      </c>
      <c r="C113">
        <v>17440.47</v>
      </c>
      <c r="D113">
        <v>363.34</v>
      </c>
      <c r="E113" s="2">
        <v>44563</v>
      </c>
      <c r="F113" s="2">
        <v>46003</v>
      </c>
      <c r="J113" t="str">
        <f t="shared" si="2"/>
        <v>OK</v>
      </c>
      <c r="L113" t="str">
        <f t="shared" si="3"/>
        <v>OK</v>
      </c>
      <c r="M113" t="str">
        <f>IF(ISNA(VLOOKUP(B113,Clienti!A:A,1,FALSE)),"Lipsă","OK")</f>
        <v>OK</v>
      </c>
    </row>
    <row r="114" spans="1:13">
      <c r="A114">
        <v>128</v>
      </c>
      <c r="B114">
        <v>88</v>
      </c>
      <c r="C114">
        <v>5654.47</v>
      </c>
      <c r="D114">
        <v>157.07</v>
      </c>
      <c r="E114" s="2">
        <v>44829</v>
      </c>
      <c r="F114" s="2">
        <v>45909</v>
      </c>
      <c r="J114" t="str">
        <f t="shared" si="2"/>
        <v>OK</v>
      </c>
      <c r="L114" t="str">
        <f t="shared" si="3"/>
        <v>OK</v>
      </c>
      <c r="M114" t="str">
        <f>IF(ISNA(VLOOKUP(B114,Clienti!A:A,1,FALSE)),"Lipsă","OK")</f>
        <v>OK</v>
      </c>
    </row>
    <row r="115" spans="1:13">
      <c r="A115">
        <v>129</v>
      </c>
      <c r="B115">
        <v>89</v>
      </c>
      <c r="C115">
        <v>27181.52</v>
      </c>
      <c r="D115">
        <v>554.72</v>
      </c>
      <c r="E115" s="2">
        <v>44826</v>
      </c>
      <c r="F115" s="2">
        <v>46296</v>
      </c>
      <c r="J115" t="str">
        <f t="shared" si="2"/>
        <v>OK</v>
      </c>
      <c r="L115" t="str">
        <f t="shared" si="3"/>
        <v>OK</v>
      </c>
      <c r="M115" t="str">
        <f>IF(ISNA(VLOOKUP(B115,Clienti!A:A,1,FALSE)),"Lipsă","OK")</f>
        <v>OK</v>
      </c>
    </row>
    <row r="116" spans="1:13">
      <c r="A116">
        <v>130</v>
      </c>
      <c r="B116">
        <v>89</v>
      </c>
      <c r="C116">
        <v>25659.56</v>
      </c>
      <c r="D116">
        <v>1710.64</v>
      </c>
      <c r="E116" s="2">
        <v>44728</v>
      </c>
      <c r="F116" s="2">
        <v>45178</v>
      </c>
      <c r="J116" t="str">
        <f t="shared" si="2"/>
        <v>OK</v>
      </c>
      <c r="L116" t="str">
        <f t="shared" si="3"/>
        <v>OK</v>
      </c>
      <c r="M116" t="str">
        <f>IF(ISNA(VLOOKUP(B116,Clienti!A:A,1,FALSE)),"Lipsă","OK")</f>
        <v>OK</v>
      </c>
    </row>
    <row r="117" spans="1:13">
      <c r="A117">
        <v>131</v>
      </c>
      <c r="B117">
        <v>89</v>
      </c>
      <c r="C117">
        <v>36905.01</v>
      </c>
      <c r="D117">
        <v>659.02</v>
      </c>
      <c r="E117" s="2">
        <v>44713</v>
      </c>
      <c r="F117" s="2">
        <v>46393</v>
      </c>
      <c r="J117" t="str">
        <f t="shared" si="2"/>
        <v>OK</v>
      </c>
      <c r="L117" t="str">
        <f t="shared" si="3"/>
        <v>OK</v>
      </c>
      <c r="M117" t="str">
        <f>IF(ISNA(VLOOKUP(B117,Clienti!A:A,1,FALSE)),"Lipsă","OK")</f>
        <v>OK</v>
      </c>
    </row>
    <row r="118" spans="1:13">
      <c r="A118">
        <v>132</v>
      </c>
      <c r="B118">
        <v>90</v>
      </c>
      <c r="C118">
        <v>29280.03</v>
      </c>
      <c r="D118">
        <v>597.54999999999995</v>
      </c>
      <c r="E118" s="2">
        <v>44705</v>
      </c>
      <c r="F118" s="2">
        <v>46175</v>
      </c>
      <c r="J118" t="str">
        <f t="shared" si="2"/>
        <v>OK</v>
      </c>
      <c r="L118" t="str">
        <f t="shared" si="3"/>
        <v>OK</v>
      </c>
      <c r="M118" t="str">
        <f>IF(ISNA(VLOOKUP(B118,Clienti!A:A,1,FALSE)),"Lipsă","OK")</f>
        <v>OK</v>
      </c>
    </row>
    <row r="119" spans="1:13">
      <c r="A119">
        <v>133</v>
      </c>
      <c r="B119">
        <v>91</v>
      </c>
      <c r="C119">
        <v>21848.95</v>
      </c>
      <c r="D119">
        <v>485.53</v>
      </c>
      <c r="E119" s="2">
        <v>44859</v>
      </c>
      <c r="F119" s="2">
        <v>46209</v>
      </c>
      <c r="J119" t="str">
        <f t="shared" si="2"/>
        <v>OK</v>
      </c>
      <c r="L119" t="str">
        <f t="shared" si="3"/>
        <v>OK</v>
      </c>
      <c r="M119" t="str">
        <f>IF(ISNA(VLOOKUP(B119,Clienti!A:A,1,FALSE)),"Lipsă","OK")</f>
        <v>OK</v>
      </c>
    </row>
    <row r="120" spans="1:13">
      <c r="A120">
        <v>134</v>
      </c>
      <c r="B120">
        <v>91</v>
      </c>
      <c r="C120">
        <v>25671.21</v>
      </c>
      <c r="D120">
        <v>950.79</v>
      </c>
      <c r="E120" s="2">
        <v>44717</v>
      </c>
      <c r="F120" s="2">
        <v>45527</v>
      </c>
      <c r="J120" t="str">
        <f t="shared" si="2"/>
        <v>OK</v>
      </c>
      <c r="L120" t="str">
        <f t="shared" si="3"/>
        <v>OK</v>
      </c>
      <c r="M120" t="str">
        <f>IF(ISNA(VLOOKUP(B120,Clienti!A:A,1,FALSE)),"Lipsă","OK")</f>
        <v>OK</v>
      </c>
    </row>
    <row r="121" spans="1:13">
      <c r="A121">
        <v>135</v>
      </c>
      <c r="B121">
        <v>91</v>
      </c>
      <c r="C121">
        <v>27834.5</v>
      </c>
      <c r="D121">
        <v>556.69000000000005</v>
      </c>
      <c r="E121" s="2">
        <v>44875</v>
      </c>
      <c r="F121" s="2">
        <v>46375</v>
      </c>
      <c r="J121" t="str">
        <f t="shared" si="2"/>
        <v>OK</v>
      </c>
      <c r="L121" t="str">
        <f t="shared" si="3"/>
        <v>OK</v>
      </c>
      <c r="M121" t="str">
        <f>IF(ISNA(VLOOKUP(B121,Clienti!A:A,1,FALSE)),"Lipsă","OK")</f>
        <v>OK</v>
      </c>
    </row>
    <row r="122" spans="1:13">
      <c r="A122">
        <v>136</v>
      </c>
      <c r="B122">
        <v>92</v>
      </c>
      <c r="C122">
        <v>44692.11</v>
      </c>
      <c r="D122">
        <v>876.32</v>
      </c>
      <c r="E122" s="2">
        <v>44901</v>
      </c>
      <c r="F122" s="2">
        <v>46431</v>
      </c>
      <c r="J122" t="str">
        <f t="shared" si="2"/>
        <v>OK</v>
      </c>
      <c r="L122" t="str">
        <f t="shared" si="3"/>
        <v>OK</v>
      </c>
      <c r="M122" t="str">
        <f>IF(ISNA(VLOOKUP(B122,Clienti!A:A,1,FALSE)),"Lipsă","OK")</f>
        <v>OK</v>
      </c>
    </row>
    <row r="123" spans="1:13">
      <c r="A123">
        <v>137</v>
      </c>
      <c r="B123">
        <v>92</v>
      </c>
      <c r="C123">
        <v>10128.57</v>
      </c>
      <c r="D123">
        <v>177.69</v>
      </c>
      <c r="E123" s="2">
        <v>44789</v>
      </c>
      <c r="F123" s="2">
        <v>46499</v>
      </c>
      <c r="J123" t="str">
        <f t="shared" si="2"/>
        <v>OK</v>
      </c>
      <c r="L123" t="str">
        <f t="shared" si="3"/>
        <v>OK</v>
      </c>
      <c r="M123" t="str">
        <f>IF(ISNA(VLOOKUP(B123,Clienti!A:A,1,FALSE)),"Lipsă","OK")</f>
        <v>OK</v>
      </c>
    </row>
    <row r="124" spans="1:13">
      <c r="A124">
        <v>138</v>
      </c>
      <c r="B124">
        <v>93</v>
      </c>
      <c r="C124">
        <v>13606.48</v>
      </c>
      <c r="D124">
        <v>316.43</v>
      </c>
      <c r="E124" s="2">
        <v>44706</v>
      </c>
      <c r="F124" s="2">
        <v>45996</v>
      </c>
      <c r="J124" t="str">
        <f t="shared" si="2"/>
        <v>OK</v>
      </c>
      <c r="L124" t="str">
        <f t="shared" si="3"/>
        <v>OK</v>
      </c>
      <c r="M124" t="str">
        <f>IF(ISNA(VLOOKUP(B124,Clienti!A:A,1,FALSE)),"Lipsă","OK")</f>
        <v>OK</v>
      </c>
    </row>
    <row r="125" spans="1:13">
      <c r="A125">
        <v>139</v>
      </c>
      <c r="B125">
        <v>94</v>
      </c>
      <c r="C125">
        <v>35223.56</v>
      </c>
      <c r="D125">
        <v>1853.87</v>
      </c>
      <c r="E125" s="2">
        <v>44564</v>
      </c>
      <c r="F125" s="2">
        <v>45134</v>
      </c>
      <c r="J125" t="str">
        <f t="shared" si="2"/>
        <v>OK</v>
      </c>
      <c r="L125" t="str">
        <f t="shared" si="3"/>
        <v>OK</v>
      </c>
      <c r="M125" t="str">
        <f>IF(ISNA(VLOOKUP(B125,Clienti!A:A,1,FALSE)),"Lipsă","OK")</f>
        <v>OK</v>
      </c>
    </row>
    <row r="126" spans="1:13">
      <c r="A126">
        <v>140</v>
      </c>
      <c r="B126">
        <v>94</v>
      </c>
      <c r="C126">
        <v>49617.36</v>
      </c>
      <c r="D126">
        <v>1127.67</v>
      </c>
      <c r="E126" s="2">
        <v>44628</v>
      </c>
      <c r="F126" s="2">
        <v>45948</v>
      </c>
      <c r="J126" t="str">
        <f t="shared" si="2"/>
        <v>OK</v>
      </c>
      <c r="L126" t="str">
        <f t="shared" si="3"/>
        <v>OK</v>
      </c>
      <c r="M126" t="str">
        <f>IF(ISNA(VLOOKUP(B126,Clienti!A:A,1,FALSE)),"Lipsă","OK")</f>
        <v>OK</v>
      </c>
    </row>
    <row r="127" spans="1:13">
      <c r="A127">
        <v>141</v>
      </c>
      <c r="B127">
        <v>95</v>
      </c>
      <c r="C127">
        <v>26215.18</v>
      </c>
      <c r="D127">
        <v>557.77</v>
      </c>
      <c r="E127" s="2">
        <v>44834</v>
      </c>
      <c r="F127" s="2">
        <v>46244</v>
      </c>
      <c r="J127" t="str">
        <f t="shared" si="2"/>
        <v>OK</v>
      </c>
      <c r="L127" t="str">
        <f t="shared" si="3"/>
        <v>OK</v>
      </c>
      <c r="M127" t="str">
        <f>IF(ISNA(VLOOKUP(B127,Clienti!A:A,1,FALSE)),"Lipsă","OK")</f>
        <v>OK</v>
      </c>
    </row>
    <row r="128" spans="1:13">
      <c r="A128">
        <v>142</v>
      </c>
      <c r="B128">
        <v>96</v>
      </c>
      <c r="C128">
        <v>21600.26</v>
      </c>
      <c r="D128">
        <v>450.01</v>
      </c>
      <c r="E128" s="2">
        <v>44918</v>
      </c>
      <c r="F128" s="2">
        <v>46358</v>
      </c>
      <c r="J128" t="str">
        <f t="shared" si="2"/>
        <v>OK</v>
      </c>
      <c r="L128" t="str">
        <f t="shared" si="3"/>
        <v>OK</v>
      </c>
      <c r="M128" t="str">
        <f>IF(ISNA(VLOOKUP(B128,Clienti!A:A,1,FALSE)),"Lipsă","OK")</f>
        <v>OK</v>
      </c>
    </row>
    <row r="129" spans="1:13">
      <c r="A129">
        <v>143</v>
      </c>
      <c r="B129">
        <v>96</v>
      </c>
      <c r="C129">
        <v>33094.870000000003</v>
      </c>
      <c r="D129">
        <v>719.45</v>
      </c>
      <c r="E129" s="2">
        <v>44602</v>
      </c>
      <c r="F129" s="2">
        <v>45982</v>
      </c>
      <c r="J129" t="str">
        <f t="shared" si="2"/>
        <v>OK</v>
      </c>
      <c r="L129" t="str">
        <f t="shared" si="3"/>
        <v>OK</v>
      </c>
      <c r="M129" t="str">
        <f>IF(ISNA(VLOOKUP(B129,Clienti!A:A,1,FALSE)),"Lipsă","OK")</f>
        <v>OK</v>
      </c>
    </row>
    <row r="130" spans="1:13">
      <c r="A130">
        <v>144</v>
      </c>
      <c r="B130">
        <v>96</v>
      </c>
      <c r="C130">
        <v>27933.4</v>
      </c>
      <c r="D130">
        <v>481.61</v>
      </c>
      <c r="E130" s="2">
        <v>44606</v>
      </c>
      <c r="F130" s="2">
        <v>46346</v>
      </c>
      <c r="J130" t="str">
        <f t="shared" si="2"/>
        <v>OK</v>
      </c>
      <c r="L130" t="str">
        <f t="shared" si="3"/>
        <v>OK</v>
      </c>
      <c r="M130" t="str">
        <f>IF(ISNA(VLOOKUP(B130,Clienti!A:A,1,FALSE)),"Lipsă","OK")</f>
        <v>OK</v>
      </c>
    </row>
    <row r="131" spans="1:13">
      <c r="A131">
        <v>145</v>
      </c>
      <c r="B131">
        <v>98</v>
      </c>
      <c r="C131">
        <v>14843.79</v>
      </c>
      <c r="D131">
        <v>247.4</v>
      </c>
      <c r="E131" s="2">
        <v>44633</v>
      </c>
      <c r="F131" s="2">
        <v>46433</v>
      </c>
      <c r="J131" t="str">
        <f t="shared" ref="J131:J139" si="4">IF(D131&lt;0,"Greșit","OK")</f>
        <v>OK</v>
      </c>
      <c r="L131" t="str">
        <f t="shared" ref="L131:L139" si="5">IF(F131&gt;=E131,"OK","Greșit")</f>
        <v>OK</v>
      </c>
      <c r="M131" t="str">
        <f>IF(ISNA(VLOOKUP(B131,Clienti!A:A,1,FALSE)),"Lipsă","OK")</f>
        <v>OK</v>
      </c>
    </row>
    <row r="132" spans="1:13">
      <c r="A132">
        <v>146</v>
      </c>
      <c r="B132">
        <v>98</v>
      </c>
      <c r="C132">
        <v>10191.209999999999</v>
      </c>
      <c r="D132">
        <v>261.31</v>
      </c>
      <c r="E132" s="2">
        <v>44815</v>
      </c>
      <c r="F132" s="2">
        <v>45985</v>
      </c>
      <c r="J132" t="str">
        <f t="shared" si="4"/>
        <v>OK</v>
      </c>
      <c r="L132" t="str">
        <f t="shared" si="5"/>
        <v>OK</v>
      </c>
      <c r="M132" t="str">
        <f>IF(ISNA(VLOOKUP(B132,Clienti!A:A,1,FALSE)),"Lipsă","OK")</f>
        <v>OK</v>
      </c>
    </row>
    <row r="133" spans="1:13">
      <c r="A133">
        <v>147</v>
      </c>
      <c r="B133">
        <v>98</v>
      </c>
      <c r="C133">
        <v>49703.15</v>
      </c>
      <c r="D133">
        <v>4141.93</v>
      </c>
      <c r="E133" s="2">
        <v>44591</v>
      </c>
      <c r="F133" s="2">
        <v>44951</v>
      </c>
      <c r="J133" t="str">
        <f t="shared" si="4"/>
        <v>OK</v>
      </c>
      <c r="L133" t="str">
        <f t="shared" si="5"/>
        <v>OK</v>
      </c>
      <c r="M133" t="str">
        <f>IF(ISNA(VLOOKUP(B133,Clienti!A:A,1,FALSE)),"Lipsă","OK")</f>
        <v>OK</v>
      </c>
    </row>
    <row r="134" spans="1:13">
      <c r="A134">
        <v>148</v>
      </c>
      <c r="B134">
        <v>99</v>
      </c>
      <c r="C134">
        <v>33796.68</v>
      </c>
      <c r="D134">
        <v>1609.37</v>
      </c>
      <c r="E134" s="2">
        <v>44784</v>
      </c>
      <c r="F134" s="2">
        <v>45414</v>
      </c>
      <c r="J134" t="str">
        <f t="shared" si="4"/>
        <v>OK</v>
      </c>
      <c r="L134" t="str">
        <f t="shared" si="5"/>
        <v>OK</v>
      </c>
      <c r="M134" t="str">
        <f>IF(ISNA(VLOOKUP(B134,Clienti!A:A,1,FALSE)),"Lipsă","OK")</f>
        <v>OK</v>
      </c>
    </row>
    <row r="135" spans="1:13">
      <c r="A135">
        <v>149</v>
      </c>
      <c r="B135">
        <v>99</v>
      </c>
      <c r="C135">
        <v>28159.65</v>
      </c>
      <c r="D135">
        <v>563.19000000000005</v>
      </c>
      <c r="E135" s="2">
        <v>44661</v>
      </c>
      <c r="F135" s="2">
        <v>46161</v>
      </c>
      <c r="J135" t="str">
        <f t="shared" si="4"/>
        <v>OK</v>
      </c>
      <c r="L135" t="str">
        <f t="shared" si="5"/>
        <v>OK</v>
      </c>
      <c r="M135" t="str">
        <f>IF(ISNA(VLOOKUP(B135,Clienti!A:A,1,FALSE)),"Lipsă","OK")</f>
        <v>OK</v>
      </c>
    </row>
    <row r="136" spans="1:13">
      <c r="A136">
        <v>150</v>
      </c>
      <c r="B136">
        <v>99</v>
      </c>
      <c r="C136">
        <v>34881.33</v>
      </c>
      <c r="D136">
        <v>634.21</v>
      </c>
      <c r="E136" s="2">
        <v>44799</v>
      </c>
      <c r="F136" s="2">
        <v>46449</v>
      </c>
      <c r="J136" t="str">
        <f t="shared" si="4"/>
        <v>OK</v>
      </c>
      <c r="L136" t="str">
        <f t="shared" si="5"/>
        <v>OK</v>
      </c>
      <c r="M136" t="str">
        <f>IF(ISNA(VLOOKUP(B136,Clienti!A:A,1,FALSE)),"Lipsă","OK")</f>
        <v>OK</v>
      </c>
    </row>
    <row r="137" spans="1:13">
      <c r="A137">
        <v>151</v>
      </c>
      <c r="B137">
        <v>100</v>
      </c>
      <c r="C137">
        <v>48320.52</v>
      </c>
      <c r="D137">
        <v>3451.47</v>
      </c>
      <c r="E137" s="2">
        <v>44676</v>
      </c>
      <c r="F137" s="2">
        <v>45096</v>
      </c>
      <c r="J137" t="str">
        <f t="shared" si="4"/>
        <v>OK</v>
      </c>
      <c r="L137" t="str">
        <f t="shared" si="5"/>
        <v>OK</v>
      </c>
      <c r="M137" t="str">
        <f>IF(ISNA(VLOOKUP(B137,Clienti!A:A,1,FALSE)),"Lipsă","OK")</f>
        <v>OK</v>
      </c>
    </row>
    <row r="138" spans="1:13">
      <c r="A138">
        <v>152</v>
      </c>
      <c r="B138">
        <v>100</v>
      </c>
      <c r="C138">
        <v>26365.86</v>
      </c>
      <c r="D138">
        <v>454.58</v>
      </c>
      <c r="E138" s="2">
        <v>44745</v>
      </c>
      <c r="F138" s="2">
        <v>46485</v>
      </c>
      <c r="J138" t="str">
        <f t="shared" si="4"/>
        <v>OK</v>
      </c>
      <c r="L138" t="str">
        <f t="shared" si="5"/>
        <v>OK</v>
      </c>
      <c r="M138" t="str">
        <f>IF(ISNA(VLOOKUP(B138,Clienti!A:A,1,FALSE)),"Lipsă","OK")</f>
        <v>OK</v>
      </c>
    </row>
    <row r="139" spans="1:13">
      <c r="A139">
        <v>153</v>
      </c>
      <c r="B139">
        <v>100</v>
      </c>
      <c r="C139">
        <v>39108.300000000003</v>
      </c>
      <c r="D139">
        <v>2607.2199999999998</v>
      </c>
      <c r="E139" s="2">
        <v>44562</v>
      </c>
      <c r="F139" s="2">
        <v>45012</v>
      </c>
      <c r="J139" t="str">
        <f t="shared" si="4"/>
        <v>OK</v>
      </c>
      <c r="L139" t="str">
        <f t="shared" si="5"/>
        <v>OK</v>
      </c>
      <c r="M139" t="str">
        <f>IF(ISNA(VLOOKUP(B139,Clienti!A:A,1,FALSE)),"Lipsă","OK")</f>
        <v>OK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Z593"/>
  <sheetViews>
    <sheetView topLeftCell="K1" workbookViewId="0">
      <selection activeCell="Y26" sqref="Y26"/>
    </sheetView>
  </sheetViews>
  <sheetFormatPr defaultRowHeight="14.4"/>
  <cols>
    <col min="4" max="4" width="16.33203125" customWidth="1"/>
    <col min="5" max="5" width="16.21875" customWidth="1"/>
    <col min="6" max="6" width="13.5546875" customWidth="1"/>
    <col min="10" max="10" width="13.109375" customWidth="1"/>
    <col min="12" max="12" width="15.6640625" customWidth="1"/>
    <col min="13" max="13" width="14" customWidth="1"/>
    <col min="14" max="14" width="15.6640625" customWidth="1"/>
    <col min="20" max="20" width="12.6640625" customWidth="1"/>
    <col min="21" max="21" width="13.6640625" customWidth="1"/>
    <col min="22" max="22" width="24.77734375" customWidth="1"/>
    <col min="23" max="23" width="16.44140625" customWidth="1"/>
    <col min="25" max="25" width="19.5546875" bestFit="1" customWidth="1"/>
  </cols>
  <sheetData>
    <row r="1" spans="1:26">
      <c r="A1" s="1" t="s">
        <v>0</v>
      </c>
      <c r="B1" s="1" t="s">
        <v>346</v>
      </c>
      <c r="C1" s="1" t="s">
        <v>345</v>
      </c>
      <c r="D1" s="10" t="s">
        <v>932</v>
      </c>
      <c r="E1" s="8" t="s">
        <v>920</v>
      </c>
      <c r="F1" s="9">
        <f>MIN(B2:B198)</f>
        <v>374.95</v>
      </c>
      <c r="J1" s="1" t="s">
        <v>350</v>
      </c>
      <c r="K1" s="1" t="s">
        <v>353</v>
      </c>
      <c r="L1" s="1" t="s">
        <v>355</v>
      </c>
      <c r="M1" s="5" t="s">
        <v>933</v>
      </c>
      <c r="N1" s="12" t="s">
        <v>934</v>
      </c>
      <c r="O1" s="12">
        <f>MIN(K2:K593)</f>
        <v>13.97</v>
      </c>
      <c r="R1" s="1" t="s">
        <v>0</v>
      </c>
      <c r="S1" s="1" t="s">
        <v>897</v>
      </c>
      <c r="T1" s="1" t="s">
        <v>898</v>
      </c>
      <c r="U1" s="1" t="s">
        <v>899</v>
      </c>
      <c r="V1" s="13" t="s">
        <v>957</v>
      </c>
      <c r="W1" s="13" t="s">
        <v>956</v>
      </c>
      <c r="Y1" s="14" t="s">
        <v>944</v>
      </c>
      <c r="Z1" s="15">
        <f>MIN(T2:T139)</f>
        <v>1025.07</v>
      </c>
    </row>
    <row r="2" spans="1:26">
      <c r="A2">
        <v>1</v>
      </c>
      <c r="B2">
        <v>1500.5</v>
      </c>
      <c r="C2" t="s">
        <v>348</v>
      </c>
      <c r="D2" t="str">
        <f>IF(OR(B2&lt;$F$9,B2&gt;$F$10),"Outlier","În interval")</f>
        <v>În interval</v>
      </c>
      <c r="E2" s="9" t="s">
        <v>921</v>
      </c>
      <c r="F2" s="9">
        <f>MAX(B2:B198)</f>
        <v>49576.77</v>
      </c>
      <c r="J2">
        <v>16</v>
      </c>
      <c r="K2">
        <v>3586.6</v>
      </c>
      <c r="L2" t="s">
        <v>356</v>
      </c>
      <c r="M2" t="str">
        <f>IF(OR(K2&lt;$O$9,K2&gt;$O$10),"Outlier","În interval")</f>
        <v>În interval</v>
      </c>
      <c r="N2" s="12" t="s">
        <v>935</v>
      </c>
      <c r="O2" s="12">
        <f>MAX(K2:K593)</f>
        <v>4988.33</v>
      </c>
      <c r="R2">
        <v>1</v>
      </c>
      <c r="S2">
        <v>16</v>
      </c>
      <c r="T2">
        <v>32875.4</v>
      </c>
      <c r="U2">
        <v>1643.77</v>
      </c>
      <c r="V2" t="str">
        <f>IF(OR(T2&lt;$Z$9,T2&gt;$Z$10),"Outlier","În interval")</f>
        <v>În interval</v>
      </c>
      <c r="W2" t="str">
        <f>IF(OR(U2&lt;$Z$22,U2&gt;$Z$23),"Outlier","În interval")</f>
        <v>În interval</v>
      </c>
      <c r="Y2" s="15" t="s">
        <v>945</v>
      </c>
      <c r="Z2" s="15">
        <f>MAX(T2:T139)</f>
        <v>49703.15</v>
      </c>
    </row>
    <row r="3" spans="1:26">
      <c r="A3">
        <v>1</v>
      </c>
      <c r="B3">
        <v>5000.75</v>
      </c>
      <c r="C3" t="s">
        <v>349</v>
      </c>
      <c r="D3" t="str">
        <f t="shared" ref="D3:D66" si="0">IF(OR(B3&lt;$F$9,B3&gt;$F$10),"Outlier","În interval")</f>
        <v>În interval</v>
      </c>
      <c r="E3" s="9" t="s">
        <v>922</v>
      </c>
      <c r="F3" s="9">
        <f>AVERAGE(B2:B198)</f>
        <v>22978.210558375627</v>
      </c>
      <c r="J3">
        <v>17</v>
      </c>
      <c r="K3">
        <v>3138.93</v>
      </c>
      <c r="L3" t="s">
        <v>357</v>
      </c>
      <c r="M3" t="str">
        <f t="shared" ref="M3:M66" si="1">IF(OR(K3&lt;$O$9,K3&gt;$O$10),"Outlier","În interval")</f>
        <v>În interval</v>
      </c>
      <c r="N3" s="12" t="s">
        <v>936</v>
      </c>
      <c r="O3" s="12">
        <f>AVERAGE(K2:K593)</f>
        <v>2539.7449155405407</v>
      </c>
      <c r="R3">
        <v>2</v>
      </c>
      <c r="S3">
        <v>17</v>
      </c>
      <c r="T3">
        <v>30066.74</v>
      </c>
      <c r="U3">
        <v>812.61</v>
      </c>
      <c r="V3" t="str">
        <f t="shared" ref="V3:V66" si="2">IF(OR(T3&lt;$Z$9,T3&gt;$Z$10),"Outlier","În interval")</f>
        <v>În interval</v>
      </c>
      <c r="W3" t="str">
        <f t="shared" ref="W3:W66" si="3">IF(OR(U3&lt;$Z$22,U3&gt;$Z$23),"Outlier","În interval")</f>
        <v>În interval</v>
      </c>
      <c r="Y3" s="15" t="s">
        <v>946</v>
      </c>
      <c r="Z3" s="15">
        <f>AVERAGE(T2:T139)</f>
        <v>24876.358043478256</v>
      </c>
    </row>
    <row r="4" spans="1:26">
      <c r="A4">
        <v>2</v>
      </c>
      <c r="B4">
        <v>1200</v>
      </c>
      <c r="C4" t="s">
        <v>348</v>
      </c>
      <c r="D4" t="str">
        <f t="shared" si="0"/>
        <v>În interval</v>
      </c>
      <c r="E4" s="9" t="s">
        <v>923</v>
      </c>
      <c r="F4" s="9">
        <f>MEDIAN(B2:B198)</f>
        <v>22383.01</v>
      </c>
      <c r="J4">
        <v>18</v>
      </c>
      <c r="K4">
        <v>2391.6799999999998</v>
      </c>
      <c r="L4" t="s">
        <v>356</v>
      </c>
      <c r="M4" t="str">
        <f t="shared" si="1"/>
        <v>În interval</v>
      </c>
      <c r="N4" s="12" t="s">
        <v>937</v>
      </c>
      <c r="O4" s="12">
        <f>MEDIAN(K2:K593)</f>
        <v>2509.3049999999998</v>
      </c>
      <c r="R4">
        <v>4</v>
      </c>
      <c r="S4">
        <v>18</v>
      </c>
      <c r="T4">
        <v>9578.68</v>
      </c>
      <c r="U4">
        <v>532.15</v>
      </c>
      <c r="V4" t="str">
        <f t="shared" si="2"/>
        <v>În interval</v>
      </c>
      <c r="W4" t="str">
        <f t="shared" si="3"/>
        <v>În interval</v>
      </c>
      <c r="Y4" s="15" t="s">
        <v>947</v>
      </c>
      <c r="Z4" s="15">
        <f>MEDIAN(T2:T139)</f>
        <v>25030.059999999998</v>
      </c>
    </row>
    <row r="5" spans="1:26">
      <c r="A5">
        <v>2</v>
      </c>
      <c r="B5">
        <v>3000</v>
      </c>
      <c r="C5" t="s">
        <v>349</v>
      </c>
      <c r="D5" t="str">
        <f t="shared" si="0"/>
        <v>În interval</v>
      </c>
      <c r="E5" s="9" t="s">
        <v>924</v>
      </c>
      <c r="F5" s="9">
        <f>STDEV(B2:B198)</f>
        <v>15183.694425658363</v>
      </c>
      <c r="J5">
        <v>19</v>
      </c>
      <c r="K5">
        <v>341.64</v>
      </c>
      <c r="L5" t="s">
        <v>356</v>
      </c>
      <c r="M5" t="str">
        <f t="shared" si="1"/>
        <v>În interval</v>
      </c>
      <c r="N5" s="12" t="s">
        <v>938</v>
      </c>
      <c r="O5" s="12">
        <f>STDEV(K2:K593)</f>
        <v>1428.3294806590575</v>
      </c>
      <c r="R5">
        <v>4</v>
      </c>
      <c r="S5">
        <v>19</v>
      </c>
      <c r="T5">
        <v>15427.74</v>
      </c>
      <c r="U5">
        <v>964.23</v>
      </c>
      <c r="V5" t="str">
        <f t="shared" si="2"/>
        <v>În interval</v>
      </c>
      <c r="W5" t="str">
        <f t="shared" si="3"/>
        <v>În interval</v>
      </c>
      <c r="Y5" s="15" t="s">
        <v>948</v>
      </c>
      <c r="Z5" s="15">
        <f>STDEV(T2:T139)</f>
        <v>14069.62260273318</v>
      </c>
    </row>
    <row r="6" spans="1:26">
      <c r="A6">
        <v>3</v>
      </c>
      <c r="B6">
        <v>4500.25</v>
      </c>
      <c r="C6" t="s">
        <v>348</v>
      </c>
      <c r="D6" t="str">
        <f t="shared" si="0"/>
        <v>În interval</v>
      </c>
      <c r="E6" s="9" t="s">
        <v>925</v>
      </c>
      <c r="F6" s="9">
        <f>QUARTILE(B2:B198,1)</f>
        <v>9207.06</v>
      </c>
      <c r="J6">
        <v>20</v>
      </c>
      <c r="K6">
        <v>3953.93</v>
      </c>
      <c r="L6" t="s">
        <v>356</v>
      </c>
      <c r="M6" t="str">
        <f t="shared" si="1"/>
        <v>În interval</v>
      </c>
      <c r="N6" s="12" t="s">
        <v>925</v>
      </c>
      <c r="O6" s="12">
        <f>QUARTILE(K2:K593,1)</f>
        <v>1297.42</v>
      </c>
      <c r="R6">
        <v>6</v>
      </c>
      <c r="S6">
        <v>20</v>
      </c>
      <c r="T6">
        <v>6379.55</v>
      </c>
      <c r="U6">
        <v>115.99</v>
      </c>
      <c r="V6" t="str">
        <f t="shared" si="2"/>
        <v>În interval</v>
      </c>
      <c r="W6" t="str">
        <f t="shared" si="3"/>
        <v>În interval</v>
      </c>
      <c r="Y6" s="15" t="s">
        <v>925</v>
      </c>
      <c r="Z6" s="15">
        <f>QUARTILE(T2:T139,1)</f>
        <v>12525.599999999999</v>
      </c>
    </row>
    <row r="7" spans="1:26">
      <c r="A7">
        <v>3</v>
      </c>
      <c r="B7">
        <v>7000</v>
      </c>
      <c r="C7" t="s">
        <v>349</v>
      </c>
      <c r="D7" t="str">
        <f t="shared" si="0"/>
        <v>În interval</v>
      </c>
      <c r="E7" s="9" t="s">
        <v>926</v>
      </c>
      <c r="F7" s="9">
        <f>QUARTILE(B2:B198,3)</f>
        <v>34800.410000000003</v>
      </c>
      <c r="J7">
        <v>21</v>
      </c>
      <c r="K7">
        <v>1012.6</v>
      </c>
      <c r="L7" t="s">
        <v>357</v>
      </c>
      <c r="M7" t="str">
        <f t="shared" si="1"/>
        <v>În interval</v>
      </c>
      <c r="N7" s="12" t="s">
        <v>926</v>
      </c>
      <c r="O7" s="12">
        <f>QUARTILE(K2:K593,3)</f>
        <v>3754.2150000000001</v>
      </c>
      <c r="R7">
        <v>6</v>
      </c>
      <c r="S7">
        <v>21</v>
      </c>
      <c r="T7">
        <v>4190.0600000000004</v>
      </c>
      <c r="U7">
        <v>71.02</v>
      </c>
      <c r="V7" t="str">
        <f t="shared" si="2"/>
        <v>În interval</v>
      </c>
      <c r="W7" t="str">
        <f t="shared" si="3"/>
        <v>În interval</v>
      </c>
      <c r="Y7" s="18" t="s">
        <v>926</v>
      </c>
      <c r="Z7" s="15">
        <f>QUARTILE(T2:T139,3)</f>
        <v>35330.202499999999</v>
      </c>
    </row>
    <row r="8" spans="1:26">
      <c r="A8">
        <v>4</v>
      </c>
      <c r="B8">
        <v>2200.5</v>
      </c>
      <c r="C8" t="s">
        <v>348</v>
      </c>
      <c r="D8" t="str">
        <f t="shared" si="0"/>
        <v>În interval</v>
      </c>
      <c r="E8" s="9" t="s">
        <v>927</v>
      </c>
      <c r="F8" s="9">
        <f>F7-F6</f>
        <v>25593.350000000006</v>
      </c>
      <c r="J8">
        <v>22</v>
      </c>
      <c r="K8">
        <v>1938.01</v>
      </c>
      <c r="L8" t="s">
        <v>358</v>
      </c>
      <c r="M8" t="str">
        <f t="shared" si="1"/>
        <v>În interval</v>
      </c>
      <c r="N8" s="12" t="s">
        <v>927</v>
      </c>
      <c r="O8" s="12">
        <f>O7-O6</f>
        <v>2456.7950000000001</v>
      </c>
      <c r="R8">
        <v>6</v>
      </c>
      <c r="S8">
        <v>22</v>
      </c>
      <c r="T8">
        <v>10285.629999999999</v>
      </c>
      <c r="U8">
        <v>270.67</v>
      </c>
      <c r="V8" t="str">
        <f t="shared" si="2"/>
        <v>În interval</v>
      </c>
      <c r="W8" t="str">
        <f t="shared" si="3"/>
        <v>În interval</v>
      </c>
      <c r="Y8" s="15" t="s">
        <v>927</v>
      </c>
      <c r="Z8" s="15">
        <f>Z7-Z6</f>
        <v>22804.602500000001</v>
      </c>
    </row>
    <row r="9" spans="1:26">
      <c r="A9">
        <v>5</v>
      </c>
      <c r="B9">
        <v>3100.75</v>
      </c>
      <c r="C9" t="s">
        <v>348</v>
      </c>
      <c r="D9" t="str">
        <f t="shared" si="0"/>
        <v>În interval</v>
      </c>
      <c r="E9" s="9" t="s">
        <v>928</v>
      </c>
      <c r="F9" s="9">
        <f>F6-1.5*F8</f>
        <v>-29182.965000000011</v>
      </c>
      <c r="J9">
        <v>23</v>
      </c>
      <c r="K9">
        <v>3568.43</v>
      </c>
      <c r="L9" t="s">
        <v>356</v>
      </c>
      <c r="M9" t="str">
        <f t="shared" si="1"/>
        <v>În interval</v>
      </c>
      <c r="N9" s="12" t="s">
        <v>928</v>
      </c>
      <c r="O9" s="12">
        <f>O6-1.5*O8</f>
        <v>-2387.7725</v>
      </c>
      <c r="R9">
        <v>7</v>
      </c>
      <c r="S9">
        <v>23</v>
      </c>
      <c r="T9">
        <v>35541.910000000003</v>
      </c>
      <c r="U9">
        <v>1269.3499999999999</v>
      </c>
      <c r="V9" t="str">
        <f t="shared" si="2"/>
        <v>În interval</v>
      </c>
      <c r="W9" t="str">
        <f t="shared" si="3"/>
        <v>În interval</v>
      </c>
      <c r="Y9" s="15" t="s">
        <v>949</v>
      </c>
      <c r="Z9" s="15">
        <f>Z6-1.5*Z8</f>
        <v>-21681.303749999999</v>
      </c>
    </row>
    <row r="10" spans="1:26">
      <c r="A10">
        <v>5</v>
      </c>
      <c r="B10">
        <v>8100.5</v>
      </c>
      <c r="C10" t="s">
        <v>349</v>
      </c>
      <c r="D10" t="str">
        <f t="shared" si="0"/>
        <v>În interval</v>
      </c>
      <c r="E10" s="9" t="s">
        <v>929</v>
      </c>
      <c r="F10" s="9">
        <f>F7+1.5*F8</f>
        <v>73190.435000000012</v>
      </c>
      <c r="J10">
        <v>24</v>
      </c>
      <c r="K10">
        <v>3214.61</v>
      </c>
      <c r="L10" t="s">
        <v>356</v>
      </c>
      <c r="M10" t="str">
        <f t="shared" si="1"/>
        <v>În interval</v>
      </c>
      <c r="N10" s="12" t="s">
        <v>929</v>
      </c>
      <c r="O10" s="12">
        <f>O7+1.5*O8</f>
        <v>7439.4075000000003</v>
      </c>
      <c r="R10">
        <v>9</v>
      </c>
      <c r="S10">
        <v>24</v>
      </c>
      <c r="T10">
        <v>6749.45</v>
      </c>
      <c r="U10">
        <v>114.4</v>
      </c>
      <c r="V10" t="str">
        <f t="shared" si="2"/>
        <v>În interval</v>
      </c>
      <c r="W10" t="str">
        <f t="shared" si="3"/>
        <v>În interval</v>
      </c>
      <c r="Y10" s="15" t="s">
        <v>950</v>
      </c>
      <c r="Z10" s="15">
        <f>Z7+1.5*Z8</f>
        <v>69537.106249999997</v>
      </c>
    </row>
    <row r="11" spans="1:26">
      <c r="A11">
        <v>6</v>
      </c>
      <c r="B11">
        <v>4000</v>
      </c>
      <c r="C11" t="s">
        <v>348</v>
      </c>
      <c r="D11" t="str">
        <f t="shared" si="0"/>
        <v>În interval</v>
      </c>
      <c r="E11" s="11" t="s">
        <v>931</v>
      </c>
      <c r="F11" s="7">
        <f>COUNTIF(C2:C198,"curent")</f>
        <v>96</v>
      </c>
      <c r="J11">
        <v>25</v>
      </c>
      <c r="K11">
        <v>4123.6899999999996</v>
      </c>
      <c r="L11" t="s">
        <v>357</v>
      </c>
      <c r="M11" t="str">
        <f t="shared" si="1"/>
        <v>În interval</v>
      </c>
      <c r="N11" s="12" t="s">
        <v>939</v>
      </c>
      <c r="O11" s="12">
        <f>COUNTIF(L2:L593,"retragere")</f>
        <v>194</v>
      </c>
      <c r="R11">
        <v>9</v>
      </c>
      <c r="S11">
        <v>25</v>
      </c>
      <c r="T11">
        <v>40572.61</v>
      </c>
      <c r="U11">
        <v>3120.97</v>
      </c>
      <c r="V11" t="str">
        <f t="shared" si="2"/>
        <v>În interval</v>
      </c>
      <c r="W11" t="str">
        <f t="shared" si="3"/>
        <v>În interval</v>
      </c>
    </row>
    <row r="12" spans="1:26">
      <c r="A12">
        <v>7</v>
      </c>
      <c r="B12">
        <v>3300.25</v>
      </c>
      <c r="C12" t="s">
        <v>348</v>
      </c>
      <c r="D12" t="str">
        <f t="shared" si="0"/>
        <v>În interval</v>
      </c>
      <c r="E12" s="11" t="s">
        <v>930</v>
      </c>
      <c r="F12" s="7">
        <f>COUNTIF(C2:C198,"economii")</f>
        <v>101</v>
      </c>
      <c r="J12">
        <v>26</v>
      </c>
      <c r="K12">
        <v>3876.02</v>
      </c>
      <c r="L12" t="s">
        <v>358</v>
      </c>
      <c r="M12" t="str">
        <f t="shared" si="1"/>
        <v>În interval</v>
      </c>
      <c r="N12" s="12" t="s">
        <v>940</v>
      </c>
      <c r="O12" s="12">
        <f>COUNTIF(L2:L593,"depunere")</f>
        <v>194</v>
      </c>
      <c r="R12">
        <v>9</v>
      </c>
      <c r="S12">
        <v>26</v>
      </c>
      <c r="T12">
        <v>1025.07</v>
      </c>
      <c r="U12">
        <v>19.71</v>
      </c>
      <c r="V12" t="str">
        <f t="shared" si="2"/>
        <v>În interval</v>
      </c>
      <c r="W12" t="str">
        <f t="shared" si="3"/>
        <v>În interval</v>
      </c>
    </row>
    <row r="13" spans="1:26">
      <c r="A13">
        <v>8</v>
      </c>
      <c r="B13">
        <v>9200</v>
      </c>
      <c r="C13" t="s">
        <v>349</v>
      </c>
      <c r="D13" t="str">
        <f t="shared" si="0"/>
        <v>În interval</v>
      </c>
      <c r="E13" s="11" t="s">
        <v>943</v>
      </c>
      <c r="F13" s="7">
        <f>SUM(F11:F12)</f>
        <v>197</v>
      </c>
      <c r="J13">
        <v>27</v>
      </c>
      <c r="K13">
        <v>2598.8000000000002</v>
      </c>
      <c r="L13" t="s">
        <v>357</v>
      </c>
      <c r="M13" t="str">
        <f t="shared" si="1"/>
        <v>În interval</v>
      </c>
      <c r="N13" s="12" t="s">
        <v>941</v>
      </c>
      <c r="O13" s="12">
        <f>COUNTIF(L2:L593,"transfer")</f>
        <v>204</v>
      </c>
      <c r="R13">
        <v>12</v>
      </c>
      <c r="S13">
        <v>27</v>
      </c>
      <c r="T13">
        <v>7018.97</v>
      </c>
      <c r="U13">
        <v>123.14</v>
      </c>
      <c r="V13" t="str">
        <f t="shared" si="2"/>
        <v>În interval</v>
      </c>
      <c r="W13" t="str">
        <f t="shared" si="3"/>
        <v>În interval</v>
      </c>
    </row>
    <row r="14" spans="1:26">
      <c r="A14">
        <v>9</v>
      </c>
      <c r="B14">
        <v>500</v>
      </c>
      <c r="C14" t="s">
        <v>348</v>
      </c>
      <c r="D14" t="str">
        <f t="shared" si="0"/>
        <v>În interval</v>
      </c>
      <c r="J14">
        <v>28</v>
      </c>
      <c r="K14">
        <v>2497.7199999999998</v>
      </c>
      <c r="L14" t="s">
        <v>358</v>
      </c>
      <c r="M14" t="str">
        <f t="shared" si="1"/>
        <v>În interval</v>
      </c>
      <c r="N14" s="12" t="s">
        <v>942</v>
      </c>
      <c r="O14" s="12">
        <f>SUM(O11:O13)</f>
        <v>592</v>
      </c>
      <c r="R14">
        <v>12</v>
      </c>
      <c r="S14">
        <v>28</v>
      </c>
      <c r="T14">
        <v>34078.370000000003</v>
      </c>
      <c r="U14">
        <v>2434.17</v>
      </c>
      <c r="V14" t="str">
        <f t="shared" si="2"/>
        <v>În interval</v>
      </c>
      <c r="W14" t="str">
        <f t="shared" si="3"/>
        <v>În interval</v>
      </c>
      <c r="Y14" s="16" t="s">
        <v>951</v>
      </c>
      <c r="Z14" s="17">
        <f>MIN(U2:U139)</f>
        <v>19.71</v>
      </c>
    </row>
    <row r="15" spans="1:26">
      <c r="A15">
        <v>10</v>
      </c>
      <c r="B15">
        <v>750</v>
      </c>
      <c r="C15" t="s">
        <v>348</v>
      </c>
      <c r="D15" t="str">
        <f t="shared" si="0"/>
        <v>În interval</v>
      </c>
      <c r="J15">
        <v>29</v>
      </c>
      <c r="K15">
        <v>374.46</v>
      </c>
      <c r="L15" t="s">
        <v>358</v>
      </c>
      <c r="M15" t="str">
        <f t="shared" si="1"/>
        <v>În interval</v>
      </c>
      <c r="R15">
        <v>13</v>
      </c>
      <c r="S15">
        <v>29</v>
      </c>
      <c r="T15">
        <v>48202.63</v>
      </c>
      <c r="U15">
        <v>1928.11</v>
      </c>
      <c r="V15" t="str">
        <f t="shared" si="2"/>
        <v>În interval</v>
      </c>
      <c r="W15" t="str">
        <f t="shared" si="3"/>
        <v>În interval</v>
      </c>
      <c r="Y15" s="17" t="s">
        <v>952</v>
      </c>
      <c r="Z15" s="17">
        <f>MAX(T2:T139)</f>
        <v>49703.15</v>
      </c>
    </row>
    <row r="16" spans="1:26">
      <c r="A16">
        <v>10</v>
      </c>
      <c r="B16">
        <v>2500</v>
      </c>
      <c r="C16" t="s">
        <v>349</v>
      </c>
      <c r="D16" t="str">
        <f t="shared" si="0"/>
        <v>În interval</v>
      </c>
      <c r="J16">
        <v>30</v>
      </c>
      <c r="K16">
        <v>1553.21</v>
      </c>
      <c r="L16" t="s">
        <v>357</v>
      </c>
      <c r="M16" t="str">
        <f t="shared" si="1"/>
        <v>În interval</v>
      </c>
      <c r="R16">
        <v>14</v>
      </c>
      <c r="S16">
        <v>30</v>
      </c>
      <c r="T16">
        <v>14580.01</v>
      </c>
      <c r="U16">
        <v>275.08999999999997</v>
      </c>
      <c r="V16" t="str">
        <f t="shared" si="2"/>
        <v>În interval</v>
      </c>
      <c r="W16" t="str">
        <f t="shared" si="3"/>
        <v>În interval</v>
      </c>
      <c r="Y16" s="17" t="s">
        <v>953</v>
      </c>
      <c r="Z16" s="17">
        <f>AVERAGE(T2:T139)</f>
        <v>24876.358043478256</v>
      </c>
    </row>
    <row r="17" spans="1:26">
      <c r="A17">
        <v>16</v>
      </c>
      <c r="B17">
        <v>13457.31</v>
      </c>
      <c r="C17" t="s">
        <v>349</v>
      </c>
      <c r="D17" t="str">
        <f t="shared" si="0"/>
        <v>În interval</v>
      </c>
      <c r="J17">
        <v>31</v>
      </c>
      <c r="K17">
        <v>2855.63</v>
      </c>
      <c r="L17" t="s">
        <v>357</v>
      </c>
      <c r="M17" t="str">
        <f t="shared" si="1"/>
        <v>În interval</v>
      </c>
      <c r="R17">
        <v>15</v>
      </c>
      <c r="S17">
        <v>31</v>
      </c>
      <c r="T17">
        <v>20066.259999999998</v>
      </c>
      <c r="U17">
        <v>364.84</v>
      </c>
      <c r="V17" t="str">
        <f t="shared" si="2"/>
        <v>În interval</v>
      </c>
      <c r="W17" t="str">
        <f t="shared" si="3"/>
        <v>În interval</v>
      </c>
      <c r="Y17" s="17" t="s">
        <v>954</v>
      </c>
      <c r="Z17" s="17">
        <f>MEDIAN(T2:T139)</f>
        <v>25030.059999999998</v>
      </c>
    </row>
    <row r="18" spans="1:26">
      <c r="A18">
        <v>16</v>
      </c>
      <c r="B18">
        <v>10362.58</v>
      </c>
      <c r="C18" t="s">
        <v>349</v>
      </c>
      <c r="D18" t="str">
        <f t="shared" si="0"/>
        <v>În interval</v>
      </c>
      <c r="J18">
        <v>32</v>
      </c>
      <c r="K18">
        <v>4578.99</v>
      </c>
      <c r="L18" t="s">
        <v>357</v>
      </c>
      <c r="M18" t="str">
        <f t="shared" si="1"/>
        <v>În interval</v>
      </c>
      <c r="R18">
        <v>17</v>
      </c>
      <c r="S18">
        <v>32</v>
      </c>
      <c r="T18">
        <v>6434.86</v>
      </c>
      <c r="U18">
        <v>321.74</v>
      </c>
      <c r="V18" t="str">
        <f t="shared" si="2"/>
        <v>În interval</v>
      </c>
      <c r="W18" t="str">
        <f t="shared" si="3"/>
        <v>În interval</v>
      </c>
      <c r="Y18" s="17" t="s">
        <v>955</v>
      </c>
      <c r="Z18" s="17">
        <f>STDEV(T2:T139)</f>
        <v>14069.62260273318</v>
      </c>
    </row>
    <row r="19" spans="1:26">
      <c r="A19">
        <v>16</v>
      </c>
      <c r="B19">
        <v>48240.59</v>
      </c>
      <c r="C19" t="s">
        <v>349</v>
      </c>
      <c r="D19" t="str">
        <f t="shared" si="0"/>
        <v>În interval</v>
      </c>
      <c r="J19">
        <v>33</v>
      </c>
      <c r="K19">
        <v>3179.09</v>
      </c>
      <c r="L19" t="s">
        <v>356</v>
      </c>
      <c r="M19" t="str">
        <f t="shared" si="1"/>
        <v>În interval</v>
      </c>
      <c r="R19">
        <v>18</v>
      </c>
      <c r="S19">
        <v>33</v>
      </c>
      <c r="T19">
        <v>23247.52</v>
      </c>
      <c r="U19">
        <v>596.09</v>
      </c>
      <c r="V19" t="str">
        <f t="shared" si="2"/>
        <v>În interval</v>
      </c>
      <c r="W19" t="str">
        <f t="shared" si="3"/>
        <v>În interval</v>
      </c>
      <c r="Y19" s="17" t="s">
        <v>925</v>
      </c>
      <c r="Z19" s="17">
        <f>QUARTILE(T2:T139,1)</f>
        <v>12525.599999999999</v>
      </c>
    </row>
    <row r="20" spans="1:26">
      <c r="A20">
        <v>17</v>
      </c>
      <c r="B20">
        <v>6969.16</v>
      </c>
      <c r="C20" t="s">
        <v>349</v>
      </c>
      <c r="D20" t="str">
        <f t="shared" si="0"/>
        <v>În interval</v>
      </c>
      <c r="J20">
        <v>34</v>
      </c>
      <c r="K20">
        <v>2303.2600000000002</v>
      </c>
      <c r="L20" t="s">
        <v>356</v>
      </c>
      <c r="M20" t="str">
        <f t="shared" si="1"/>
        <v>În interval</v>
      </c>
      <c r="R20">
        <v>19</v>
      </c>
      <c r="S20">
        <v>34</v>
      </c>
      <c r="T20">
        <v>26548.52</v>
      </c>
      <c r="U20">
        <v>1021.1</v>
      </c>
      <c r="V20" t="str">
        <f t="shared" si="2"/>
        <v>În interval</v>
      </c>
      <c r="W20" t="str">
        <f t="shared" si="3"/>
        <v>În interval</v>
      </c>
      <c r="Y20" s="19" t="s">
        <v>926</v>
      </c>
      <c r="Z20" s="17">
        <f>QUARTILE(T2:T139,3)</f>
        <v>35330.202499999999</v>
      </c>
    </row>
    <row r="21" spans="1:26">
      <c r="A21">
        <v>17</v>
      </c>
      <c r="B21">
        <v>15177.94</v>
      </c>
      <c r="C21" t="s">
        <v>349</v>
      </c>
      <c r="D21" t="str">
        <f t="shared" si="0"/>
        <v>În interval</v>
      </c>
      <c r="J21">
        <v>35</v>
      </c>
      <c r="K21">
        <v>4936.95</v>
      </c>
      <c r="L21" t="s">
        <v>356</v>
      </c>
      <c r="M21" t="str">
        <f t="shared" si="1"/>
        <v>În interval</v>
      </c>
      <c r="R21">
        <v>19</v>
      </c>
      <c r="S21">
        <v>35</v>
      </c>
      <c r="T21">
        <v>34694.49</v>
      </c>
      <c r="U21">
        <v>630.80999999999995</v>
      </c>
      <c r="V21" t="str">
        <f t="shared" si="2"/>
        <v>În interval</v>
      </c>
      <c r="W21" t="str">
        <f t="shared" si="3"/>
        <v>În interval</v>
      </c>
      <c r="Y21" s="17" t="s">
        <v>927</v>
      </c>
      <c r="Z21" s="17">
        <f>Z20-Z19</f>
        <v>22804.602500000001</v>
      </c>
    </row>
    <row r="22" spans="1:26">
      <c r="A22">
        <v>17</v>
      </c>
      <c r="B22">
        <v>30165.8</v>
      </c>
      <c r="C22" t="s">
        <v>349</v>
      </c>
      <c r="D22" t="str">
        <f t="shared" si="0"/>
        <v>În interval</v>
      </c>
      <c r="J22">
        <v>36</v>
      </c>
      <c r="K22">
        <v>815.24</v>
      </c>
      <c r="L22" t="s">
        <v>357</v>
      </c>
      <c r="M22" t="str">
        <f t="shared" si="1"/>
        <v>În interval</v>
      </c>
      <c r="R22">
        <v>20</v>
      </c>
      <c r="S22">
        <v>36</v>
      </c>
      <c r="T22">
        <v>20331.04</v>
      </c>
      <c r="U22">
        <v>390.98</v>
      </c>
      <c r="V22" t="str">
        <f t="shared" si="2"/>
        <v>În interval</v>
      </c>
      <c r="W22" t="str">
        <f t="shared" si="3"/>
        <v>În interval</v>
      </c>
      <c r="Y22" s="17" t="s">
        <v>949</v>
      </c>
      <c r="Z22" s="17">
        <f>Z19-1.5*Z21</f>
        <v>-21681.303749999999</v>
      </c>
    </row>
    <row r="23" spans="1:26">
      <c r="A23">
        <v>18</v>
      </c>
      <c r="B23">
        <v>47310.37</v>
      </c>
      <c r="C23" t="s">
        <v>348</v>
      </c>
      <c r="D23" t="str">
        <f t="shared" si="0"/>
        <v>În interval</v>
      </c>
      <c r="J23">
        <v>37</v>
      </c>
      <c r="K23">
        <v>4548.41</v>
      </c>
      <c r="L23" t="s">
        <v>356</v>
      </c>
      <c r="M23" t="str">
        <f t="shared" si="1"/>
        <v>În interval</v>
      </c>
      <c r="R23">
        <v>20</v>
      </c>
      <c r="S23">
        <v>37</v>
      </c>
      <c r="T23">
        <v>39396.71</v>
      </c>
      <c r="U23">
        <v>804.01</v>
      </c>
      <c r="V23" t="str">
        <f t="shared" si="2"/>
        <v>În interval</v>
      </c>
      <c r="W23" t="str">
        <f t="shared" si="3"/>
        <v>În interval</v>
      </c>
      <c r="Y23" s="17" t="s">
        <v>950</v>
      </c>
      <c r="Z23" s="17">
        <f>Z20+1.5*Z21</f>
        <v>69537.106249999997</v>
      </c>
    </row>
    <row r="24" spans="1:26">
      <c r="A24">
        <v>19</v>
      </c>
      <c r="B24">
        <v>33844.99</v>
      </c>
      <c r="C24" t="s">
        <v>349</v>
      </c>
      <c r="D24" t="str">
        <f t="shared" si="0"/>
        <v>În interval</v>
      </c>
      <c r="J24">
        <v>38</v>
      </c>
      <c r="K24">
        <v>648.63</v>
      </c>
      <c r="L24" t="s">
        <v>356</v>
      </c>
      <c r="M24" t="str">
        <f t="shared" si="1"/>
        <v>În interval</v>
      </c>
      <c r="R24">
        <v>21</v>
      </c>
      <c r="S24">
        <v>38</v>
      </c>
      <c r="T24">
        <v>42136.68</v>
      </c>
      <c r="U24">
        <v>1080.43</v>
      </c>
      <c r="V24" t="str">
        <f t="shared" si="2"/>
        <v>În interval</v>
      </c>
      <c r="W24" t="str">
        <f t="shared" si="3"/>
        <v>În interval</v>
      </c>
    </row>
    <row r="25" spans="1:26">
      <c r="A25">
        <v>20</v>
      </c>
      <c r="B25">
        <v>31875.759999999998</v>
      </c>
      <c r="C25" t="s">
        <v>348</v>
      </c>
      <c r="D25" t="str">
        <f t="shared" si="0"/>
        <v>În interval</v>
      </c>
      <c r="J25">
        <v>39</v>
      </c>
      <c r="K25">
        <v>473.67</v>
      </c>
      <c r="L25" t="s">
        <v>358</v>
      </c>
      <c r="M25" t="str">
        <f t="shared" si="1"/>
        <v>În interval</v>
      </c>
      <c r="R25">
        <v>21</v>
      </c>
      <c r="S25">
        <v>39</v>
      </c>
      <c r="T25">
        <v>3745.17</v>
      </c>
      <c r="U25">
        <v>138.71</v>
      </c>
      <c r="V25" t="str">
        <f t="shared" si="2"/>
        <v>În interval</v>
      </c>
      <c r="W25" t="str">
        <f t="shared" si="3"/>
        <v>În interval</v>
      </c>
    </row>
    <row r="26" spans="1:26">
      <c r="A26">
        <v>20</v>
      </c>
      <c r="B26">
        <v>8709.94</v>
      </c>
      <c r="C26" t="s">
        <v>348</v>
      </c>
      <c r="D26" t="str">
        <f t="shared" si="0"/>
        <v>În interval</v>
      </c>
      <c r="J26">
        <v>40</v>
      </c>
      <c r="K26">
        <v>2700.94</v>
      </c>
      <c r="L26" t="s">
        <v>358</v>
      </c>
      <c r="M26" t="str">
        <f t="shared" si="1"/>
        <v>În interval</v>
      </c>
      <c r="R26">
        <v>23</v>
      </c>
      <c r="S26">
        <v>40</v>
      </c>
      <c r="T26">
        <v>31083.07</v>
      </c>
      <c r="U26">
        <v>1351.44</v>
      </c>
      <c r="V26" t="str">
        <f t="shared" si="2"/>
        <v>În interval</v>
      </c>
      <c r="W26" t="str">
        <f t="shared" si="3"/>
        <v>În interval</v>
      </c>
    </row>
    <row r="27" spans="1:26">
      <c r="A27">
        <v>20</v>
      </c>
      <c r="B27">
        <v>18952.36</v>
      </c>
      <c r="C27" t="s">
        <v>349</v>
      </c>
      <c r="D27" t="str">
        <f t="shared" si="0"/>
        <v>În interval</v>
      </c>
      <c r="J27">
        <v>41</v>
      </c>
      <c r="K27">
        <v>3393.6</v>
      </c>
      <c r="L27" t="s">
        <v>357</v>
      </c>
      <c r="M27" t="str">
        <f t="shared" si="1"/>
        <v>În interval</v>
      </c>
      <c r="R27">
        <v>24</v>
      </c>
      <c r="S27">
        <v>41</v>
      </c>
      <c r="T27">
        <v>14042.69</v>
      </c>
      <c r="U27">
        <v>1003.05</v>
      </c>
      <c r="V27" t="str">
        <f t="shared" si="2"/>
        <v>În interval</v>
      </c>
      <c r="W27" t="str">
        <f t="shared" si="3"/>
        <v>În interval</v>
      </c>
    </row>
    <row r="28" spans="1:26">
      <c r="A28">
        <v>21</v>
      </c>
      <c r="B28">
        <v>32719.09</v>
      </c>
      <c r="C28" t="s">
        <v>349</v>
      </c>
      <c r="D28" t="str">
        <f t="shared" si="0"/>
        <v>În interval</v>
      </c>
      <c r="J28">
        <v>42</v>
      </c>
      <c r="K28">
        <v>1810.23</v>
      </c>
      <c r="L28" t="s">
        <v>358</v>
      </c>
      <c r="M28" t="str">
        <f t="shared" si="1"/>
        <v>În interval</v>
      </c>
      <c r="R28">
        <v>25</v>
      </c>
      <c r="S28">
        <v>42</v>
      </c>
      <c r="T28">
        <v>29379.72</v>
      </c>
      <c r="U28">
        <v>587.59</v>
      </c>
      <c r="V28" t="str">
        <f t="shared" si="2"/>
        <v>În interval</v>
      </c>
      <c r="W28" t="str">
        <f t="shared" si="3"/>
        <v>În interval</v>
      </c>
    </row>
    <row r="29" spans="1:26">
      <c r="A29">
        <v>21</v>
      </c>
      <c r="B29">
        <v>42633.35</v>
      </c>
      <c r="C29" t="s">
        <v>348</v>
      </c>
      <c r="D29" t="str">
        <f t="shared" si="0"/>
        <v>În interval</v>
      </c>
      <c r="J29">
        <v>43</v>
      </c>
      <c r="K29">
        <v>4110.6899999999996</v>
      </c>
      <c r="L29" t="s">
        <v>357</v>
      </c>
      <c r="M29" t="str">
        <f t="shared" si="1"/>
        <v>În interval</v>
      </c>
      <c r="R29">
        <v>26</v>
      </c>
      <c r="S29">
        <v>43</v>
      </c>
      <c r="T29">
        <v>21060.55</v>
      </c>
      <c r="U29">
        <v>915.68</v>
      </c>
      <c r="V29" t="str">
        <f t="shared" si="2"/>
        <v>În interval</v>
      </c>
      <c r="W29" t="str">
        <f t="shared" si="3"/>
        <v>În interval</v>
      </c>
    </row>
    <row r="30" spans="1:26">
      <c r="A30">
        <v>21</v>
      </c>
      <c r="B30">
        <v>23959.84</v>
      </c>
      <c r="C30" t="s">
        <v>348</v>
      </c>
      <c r="D30" t="str">
        <f t="shared" si="0"/>
        <v>În interval</v>
      </c>
      <c r="J30">
        <v>44</v>
      </c>
      <c r="K30">
        <v>1048.1400000000001</v>
      </c>
      <c r="L30" t="s">
        <v>356</v>
      </c>
      <c r="M30" t="str">
        <f t="shared" si="1"/>
        <v>În interval</v>
      </c>
      <c r="R30">
        <v>26</v>
      </c>
      <c r="S30">
        <v>44</v>
      </c>
      <c r="T30">
        <v>29597.38</v>
      </c>
      <c r="U30">
        <v>896.89</v>
      </c>
      <c r="V30" t="str">
        <f t="shared" si="2"/>
        <v>În interval</v>
      </c>
      <c r="W30" t="str">
        <f t="shared" si="3"/>
        <v>În interval</v>
      </c>
    </row>
    <row r="31" spans="1:26">
      <c r="A31">
        <v>22</v>
      </c>
      <c r="B31">
        <v>17031.740000000002</v>
      </c>
      <c r="C31" t="s">
        <v>349</v>
      </c>
      <c r="D31" t="str">
        <f t="shared" si="0"/>
        <v>În interval</v>
      </c>
      <c r="J31">
        <v>45</v>
      </c>
      <c r="K31">
        <v>1136.53</v>
      </c>
      <c r="L31" t="s">
        <v>356</v>
      </c>
      <c r="M31" t="str">
        <f t="shared" si="1"/>
        <v>În interval</v>
      </c>
      <c r="R31">
        <v>27</v>
      </c>
      <c r="S31">
        <v>45</v>
      </c>
      <c r="T31">
        <v>10460.450000000001</v>
      </c>
      <c r="U31">
        <v>197.37</v>
      </c>
      <c r="V31" t="str">
        <f t="shared" si="2"/>
        <v>În interval</v>
      </c>
      <c r="W31" t="str">
        <f t="shared" si="3"/>
        <v>În interval</v>
      </c>
    </row>
    <row r="32" spans="1:26">
      <c r="A32">
        <v>22</v>
      </c>
      <c r="B32">
        <v>45876.29</v>
      </c>
      <c r="C32" t="s">
        <v>349</v>
      </c>
      <c r="D32" t="str">
        <f t="shared" si="0"/>
        <v>În interval</v>
      </c>
      <c r="J32">
        <v>46</v>
      </c>
      <c r="K32">
        <v>1678.89</v>
      </c>
      <c r="L32" t="s">
        <v>358</v>
      </c>
      <c r="M32" t="str">
        <f t="shared" si="1"/>
        <v>În interval</v>
      </c>
      <c r="R32">
        <v>28</v>
      </c>
      <c r="S32">
        <v>46</v>
      </c>
      <c r="T32">
        <v>45075.5</v>
      </c>
      <c r="U32">
        <v>959.05</v>
      </c>
      <c r="V32" t="str">
        <f t="shared" si="2"/>
        <v>În interval</v>
      </c>
      <c r="W32" t="str">
        <f t="shared" si="3"/>
        <v>În interval</v>
      </c>
    </row>
    <row r="33" spans="1:23">
      <c r="A33">
        <v>22</v>
      </c>
      <c r="B33">
        <v>5798.04</v>
      </c>
      <c r="C33" t="s">
        <v>349</v>
      </c>
      <c r="D33" t="str">
        <f t="shared" si="0"/>
        <v>În interval</v>
      </c>
      <c r="J33">
        <v>47</v>
      </c>
      <c r="K33">
        <v>2894.07</v>
      </c>
      <c r="L33" t="s">
        <v>357</v>
      </c>
      <c r="M33" t="str">
        <f t="shared" si="1"/>
        <v>În interval</v>
      </c>
      <c r="R33">
        <v>28</v>
      </c>
      <c r="S33">
        <v>47</v>
      </c>
      <c r="T33">
        <v>1998.85</v>
      </c>
      <c r="U33">
        <v>43.45</v>
      </c>
      <c r="V33" t="str">
        <f t="shared" si="2"/>
        <v>În interval</v>
      </c>
      <c r="W33" t="str">
        <f t="shared" si="3"/>
        <v>În interval</v>
      </c>
    </row>
    <row r="34" spans="1:23">
      <c r="A34">
        <v>23</v>
      </c>
      <c r="B34">
        <v>9691.09</v>
      </c>
      <c r="C34" t="s">
        <v>348</v>
      </c>
      <c r="D34" t="str">
        <f t="shared" si="0"/>
        <v>În interval</v>
      </c>
      <c r="J34">
        <v>48</v>
      </c>
      <c r="K34">
        <v>308.23</v>
      </c>
      <c r="L34" t="s">
        <v>357</v>
      </c>
      <c r="M34" t="str">
        <f t="shared" si="1"/>
        <v>În interval</v>
      </c>
      <c r="R34">
        <v>28</v>
      </c>
      <c r="S34">
        <v>48</v>
      </c>
      <c r="T34">
        <v>7576.06</v>
      </c>
      <c r="U34">
        <v>132.91</v>
      </c>
      <c r="V34" t="str">
        <f t="shared" si="2"/>
        <v>În interval</v>
      </c>
      <c r="W34" t="str">
        <f t="shared" si="3"/>
        <v>În interval</v>
      </c>
    </row>
    <row r="35" spans="1:23">
      <c r="A35">
        <v>23</v>
      </c>
      <c r="B35">
        <v>14224.15</v>
      </c>
      <c r="C35" t="s">
        <v>349</v>
      </c>
      <c r="D35" t="str">
        <f t="shared" si="0"/>
        <v>În interval</v>
      </c>
      <c r="J35">
        <v>49</v>
      </c>
      <c r="K35">
        <v>1553.44</v>
      </c>
      <c r="L35" t="s">
        <v>358</v>
      </c>
      <c r="M35" t="str">
        <f t="shared" si="1"/>
        <v>În interval</v>
      </c>
      <c r="R35">
        <v>32</v>
      </c>
      <c r="S35">
        <v>49</v>
      </c>
      <c r="T35">
        <v>22060.66</v>
      </c>
      <c r="U35">
        <v>1225.5899999999999</v>
      </c>
      <c r="V35" t="str">
        <f t="shared" si="2"/>
        <v>În interval</v>
      </c>
      <c r="W35" t="str">
        <f t="shared" si="3"/>
        <v>În interval</v>
      </c>
    </row>
    <row r="36" spans="1:23">
      <c r="A36">
        <v>23</v>
      </c>
      <c r="B36">
        <v>14180.69</v>
      </c>
      <c r="C36" t="s">
        <v>348</v>
      </c>
      <c r="D36" t="str">
        <f t="shared" si="0"/>
        <v>În interval</v>
      </c>
      <c r="J36">
        <v>50</v>
      </c>
      <c r="K36">
        <v>681.61</v>
      </c>
      <c r="L36" t="s">
        <v>356</v>
      </c>
      <c r="M36" t="str">
        <f t="shared" si="1"/>
        <v>În interval</v>
      </c>
      <c r="R36">
        <v>33</v>
      </c>
      <c r="S36">
        <v>50</v>
      </c>
      <c r="T36">
        <v>24237.71</v>
      </c>
      <c r="U36">
        <v>504.95</v>
      </c>
      <c r="V36" t="str">
        <f t="shared" si="2"/>
        <v>În interval</v>
      </c>
      <c r="W36" t="str">
        <f t="shared" si="3"/>
        <v>În interval</v>
      </c>
    </row>
    <row r="37" spans="1:23">
      <c r="A37">
        <v>24</v>
      </c>
      <c r="B37">
        <v>49563.59</v>
      </c>
      <c r="C37" t="s">
        <v>349</v>
      </c>
      <c r="D37" t="str">
        <f t="shared" si="0"/>
        <v>În interval</v>
      </c>
      <c r="J37">
        <v>51</v>
      </c>
      <c r="K37">
        <v>4684.6099999999997</v>
      </c>
      <c r="L37" t="s">
        <v>356</v>
      </c>
      <c r="M37" t="str">
        <f t="shared" si="1"/>
        <v>În interval</v>
      </c>
      <c r="R37">
        <v>33</v>
      </c>
      <c r="S37">
        <v>51</v>
      </c>
      <c r="T37">
        <v>42408.53</v>
      </c>
      <c r="U37">
        <v>3262.19</v>
      </c>
      <c r="V37" t="str">
        <f t="shared" si="2"/>
        <v>În interval</v>
      </c>
      <c r="W37" t="str">
        <f t="shared" si="3"/>
        <v>În interval</v>
      </c>
    </row>
    <row r="38" spans="1:23">
      <c r="A38">
        <v>25</v>
      </c>
      <c r="B38">
        <v>30873.29</v>
      </c>
      <c r="C38" t="s">
        <v>348</v>
      </c>
      <c r="D38" t="str">
        <f t="shared" si="0"/>
        <v>În interval</v>
      </c>
      <c r="J38">
        <v>52</v>
      </c>
      <c r="K38">
        <v>1378.35</v>
      </c>
      <c r="L38" t="s">
        <v>357</v>
      </c>
      <c r="M38" t="str">
        <f t="shared" si="1"/>
        <v>În interval</v>
      </c>
      <c r="R38">
        <v>33</v>
      </c>
      <c r="S38">
        <v>52</v>
      </c>
      <c r="T38">
        <v>41138.46</v>
      </c>
      <c r="U38">
        <v>697.26</v>
      </c>
      <c r="V38" t="str">
        <f t="shared" si="2"/>
        <v>În interval</v>
      </c>
      <c r="W38" t="str">
        <f t="shared" si="3"/>
        <v>În interval</v>
      </c>
    </row>
    <row r="39" spans="1:23">
      <c r="A39">
        <v>26</v>
      </c>
      <c r="B39">
        <v>2196.37</v>
      </c>
      <c r="C39" t="s">
        <v>349</v>
      </c>
      <c r="D39" t="str">
        <f t="shared" si="0"/>
        <v>În interval</v>
      </c>
      <c r="J39">
        <v>53</v>
      </c>
      <c r="K39">
        <v>1887.52</v>
      </c>
      <c r="L39" t="s">
        <v>358</v>
      </c>
      <c r="M39" t="str">
        <f t="shared" si="1"/>
        <v>În interval</v>
      </c>
      <c r="R39">
        <v>34</v>
      </c>
      <c r="S39">
        <v>53</v>
      </c>
      <c r="T39">
        <v>41829.410000000003</v>
      </c>
      <c r="U39">
        <v>733.85</v>
      </c>
      <c r="V39" t="str">
        <f t="shared" si="2"/>
        <v>În interval</v>
      </c>
      <c r="W39" t="str">
        <f t="shared" si="3"/>
        <v>În interval</v>
      </c>
    </row>
    <row r="40" spans="1:23">
      <c r="A40">
        <v>27</v>
      </c>
      <c r="B40">
        <v>49576.77</v>
      </c>
      <c r="C40" t="s">
        <v>349</v>
      </c>
      <c r="D40" t="str">
        <f t="shared" si="0"/>
        <v>În interval</v>
      </c>
      <c r="J40">
        <v>54</v>
      </c>
      <c r="K40">
        <v>3974.45</v>
      </c>
      <c r="L40" t="s">
        <v>358</v>
      </c>
      <c r="M40" t="str">
        <f t="shared" si="1"/>
        <v>În interval</v>
      </c>
      <c r="R40">
        <v>34</v>
      </c>
      <c r="S40">
        <v>54</v>
      </c>
      <c r="T40">
        <v>33602.21</v>
      </c>
      <c r="U40">
        <v>714.94</v>
      </c>
      <c r="V40" t="str">
        <f t="shared" si="2"/>
        <v>În interval</v>
      </c>
      <c r="W40" t="str">
        <f t="shared" si="3"/>
        <v>În interval</v>
      </c>
    </row>
    <row r="41" spans="1:23">
      <c r="A41">
        <v>27</v>
      </c>
      <c r="B41">
        <v>668.56</v>
      </c>
      <c r="C41" t="s">
        <v>348</v>
      </c>
      <c r="D41" t="str">
        <f t="shared" si="0"/>
        <v>În interval</v>
      </c>
      <c r="J41">
        <v>55</v>
      </c>
      <c r="K41">
        <v>1378.92</v>
      </c>
      <c r="L41" t="s">
        <v>358</v>
      </c>
      <c r="M41" t="str">
        <f t="shared" si="1"/>
        <v>În interval</v>
      </c>
      <c r="R41">
        <v>36</v>
      </c>
      <c r="S41">
        <v>55</v>
      </c>
      <c r="T41">
        <v>26225.75</v>
      </c>
      <c r="U41">
        <v>690.15</v>
      </c>
      <c r="V41" t="str">
        <f t="shared" si="2"/>
        <v>În interval</v>
      </c>
      <c r="W41" t="str">
        <f t="shared" si="3"/>
        <v>În interval</v>
      </c>
    </row>
    <row r="42" spans="1:23">
      <c r="A42">
        <v>27</v>
      </c>
      <c r="B42">
        <v>30753.63</v>
      </c>
      <c r="C42" t="s">
        <v>349</v>
      </c>
      <c r="D42" t="str">
        <f t="shared" si="0"/>
        <v>În interval</v>
      </c>
      <c r="J42">
        <v>56</v>
      </c>
      <c r="K42">
        <v>3988.15</v>
      </c>
      <c r="L42" t="s">
        <v>356</v>
      </c>
      <c r="M42" t="str">
        <f t="shared" si="1"/>
        <v>În interval</v>
      </c>
      <c r="R42">
        <v>36</v>
      </c>
      <c r="S42">
        <v>56</v>
      </c>
      <c r="T42">
        <v>41719.699999999997</v>
      </c>
      <c r="U42">
        <v>2979.98</v>
      </c>
      <c r="V42" t="str">
        <f t="shared" si="2"/>
        <v>În interval</v>
      </c>
      <c r="W42" t="str">
        <f t="shared" si="3"/>
        <v>În interval</v>
      </c>
    </row>
    <row r="43" spans="1:23">
      <c r="A43">
        <v>28</v>
      </c>
      <c r="B43">
        <v>27298.94</v>
      </c>
      <c r="C43" t="s">
        <v>348</v>
      </c>
      <c r="D43" t="str">
        <f t="shared" si="0"/>
        <v>În interval</v>
      </c>
      <c r="J43">
        <v>57</v>
      </c>
      <c r="K43">
        <v>4038.01</v>
      </c>
      <c r="L43" t="s">
        <v>356</v>
      </c>
      <c r="M43" t="str">
        <f t="shared" si="1"/>
        <v>În interval</v>
      </c>
      <c r="R43">
        <v>37</v>
      </c>
      <c r="S43">
        <v>57</v>
      </c>
      <c r="T43">
        <v>9448.73</v>
      </c>
      <c r="U43">
        <v>201.04</v>
      </c>
      <c r="V43" t="str">
        <f t="shared" si="2"/>
        <v>În interval</v>
      </c>
      <c r="W43" t="str">
        <f t="shared" si="3"/>
        <v>În interval</v>
      </c>
    </row>
    <row r="44" spans="1:23">
      <c r="A44">
        <v>29</v>
      </c>
      <c r="B44">
        <v>31403.14</v>
      </c>
      <c r="C44" t="s">
        <v>349</v>
      </c>
      <c r="D44" t="str">
        <f t="shared" si="0"/>
        <v>În interval</v>
      </c>
      <c r="J44">
        <v>58</v>
      </c>
      <c r="K44">
        <v>732.82</v>
      </c>
      <c r="L44" t="s">
        <v>358</v>
      </c>
      <c r="M44" t="str">
        <f t="shared" si="1"/>
        <v>În interval</v>
      </c>
      <c r="R44">
        <v>37</v>
      </c>
      <c r="S44">
        <v>58</v>
      </c>
      <c r="T44">
        <v>46124.73</v>
      </c>
      <c r="U44">
        <v>2427.62</v>
      </c>
      <c r="V44" t="str">
        <f t="shared" si="2"/>
        <v>În interval</v>
      </c>
      <c r="W44" t="str">
        <f t="shared" si="3"/>
        <v>În interval</v>
      </c>
    </row>
    <row r="45" spans="1:23">
      <c r="A45">
        <v>29</v>
      </c>
      <c r="B45">
        <v>8653.98</v>
      </c>
      <c r="C45" t="s">
        <v>348</v>
      </c>
      <c r="D45" t="str">
        <f t="shared" si="0"/>
        <v>În interval</v>
      </c>
      <c r="J45">
        <v>59</v>
      </c>
      <c r="K45">
        <v>4548.76</v>
      </c>
      <c r="L45" t="s">
        <v>357</v>
      </c>
      <c r="M45" t="str">
        <f t="shared" si="1"/>
        <v>În interval</v>
      </c>
      <c r="R45">
        <v>39</v>
      </c>
      <c r="S45">
        <v>59</v>
      </c>
      <c r="T45">
        <v>10836.05</v>
      </c>
      <c r="U45">
        <v>230.55</v>
      </c>
      <c r="V45" t="str">
        <f t="shared" si="2"/>
        <v>În interval</v>
      </c>
      <c r="W45" t="str">
        <f t="shared" si="3"/>
        <v>În interval</v>
      </c>
    </row>
    <row r="46" spans="1:23">
      <c r="A46">
        <v>29</v>
      </c>
      <c r="B46">
        <v>31193.46</v>
      </c>
      <c r="C46" t="s">
        <v>348</v>
      </c>
      <c r="D46" t="str">
        <f t="shared" si="0"/>
        <v>În interval</v>
      </c>
      <c r="J46">
        <v>60</v>
      </c>
      <c r="K46">
        <v>3439.13</v>
      </c>
      <c r="L46" t="s">
        <v>356</v>
      </c>
      <c r="M46" t="str">
        <f t="shared" si="1"/>
        <v>În interval</v>
      </c>
      <c r="R46">
        <v>39</v>
      </c>
      <c r="S46">
        <v>60</v>
      </c>
      <c r="T46">
        <v>17033.259999999998</v>
      </c>
      <c r="U46">
        <v>333.99</v>
      </c>
      <c r="V46" t="str">
        <f t="shared" si="2"/>
        <v>În interval</v>
      </c>
      <c r="W46" t="str">
        <f t="shared" si="3"/>
        <v>În interval</v>
      </c>
    </row>
    <row r="47" spans="1:23">
      <c r="A47">
        <v>30</v>
      </c>
      <c r="B47">
        <v>19799.55</v>
      </c>
      <c r="C47" t="s">
        <v>349</v>
      </c>
      <c r="D47" t="str">
        <f t="shared" si="0"/>
        <v>În interval</v>
      </c>
      <c r="J47">
        <v>61</v>
      </c>
      <c r="K47">
        <v>2678.96</v>
      </c>
      <c r="L47" t="s">
        <v>358</v>
      </c>
      <c r="M47" t="str">
        <f t="shared" si="1"/>
        <v>În interval</v>
      </c>
      <c r="R47">
        <v>39</v>
      </c>
      <c r="S47">
        <v>61</v>
      </c>
      <c r="T47">
        <v>46774.9</v>
      </c>
      <c r="U47">
        <v>2033.69</v>
      </c>
      <c r="V47" t="str">
        <f t="shared" si="2"/>
        <v>În interval</v>
      </c>
      <c r="W47" t="str">
        <f t="shared" si="3"/>
        <v>În interval</v>
      </c>
    </row>
    <row r="48" spans="1:23">
      <c r="A48">
        <v>30</v>
      </c>
      <c r="B48">
        <v>49294.9</v>
      </c>
      <c r="C48" t="s">
        <v>349</v>
      </c>
      <c r="D48" t="str">
        <f t="shared" si="0"/>
        <v>În interval</v>
      </c>
      <c r="J48">
        <v>62</v>
      </c>
      <c r="K48">
        <v>3032.38</v>
      </c>
      <c r="L48" t="s">
        <v>357</v>
      </c>
      <c r="M48" t="str">
        <f t="shared" si="1"/>
        <v>În interval</v>
      </c>
      <c r="R48">
        <v>40</v>
      </c>
      <c r="S48">
        <v>62</v>
      </c>
      <c r="T48">
        <v>48529.73</v>
      </c>
      <c r="U48">
        <v>1427.35</v>
      </c>
      <c r="V48" t="str">
        <f t="shared" si="2"/>
        <v>În interval</v>
      </c>
      <c r="W48" t="str">
        <f t="shared" si="3"/>
        <v>În interval</v>
      </c>
    </row>
    <row r="49" spans="1:23">
      <c r="A49">
        <v>30</v>
      </c>
      <c r="B49">
        <v>9207.06</v>
      </c>
      <c r="C49" t="s">
        <v>348</v>
      </c>
      <c r="D49" t="str">
        <f t="shared" si="0"/>
        <v>În interval</v>
      </c>
      <c r="J49">
        <v>63</v>
      </c>
      <c r="K49">
        <v>2930.28</v>
      </c>
      <c r="L49" t="s">
        <v>357</v>
      </c>
      <c r="M49" t="str">
        <f t="shared" si="1"/>
        <v>În interval</v>
      </c>
      <c r="R49">
        <v>40</v>
      </c>
      <c r="S49">
        <v>63</v>
      </c>
      <c r="T49">
        <v>7618.33</v>
      </c>
      <c r="U49">
        <v>544.16999999999996</v>
      </c>
      <c r="V49" t="str">
        <f t="shared" si="2"/>
        <v>În interval</v>
      </c>
      <c r="W49" t="str">
        <f t="shared" si="3"/>
        <v>În interval</v>
      </c>
    </row>
    <row r="50" spans="1:23">
      <c r="A50">
        <v>31</v>
      </c>
      <c r="B50">
        <v>26496.84</v>
      </c>
      <c r="C50" t="s">
        <v>348</v>
      </c>
      <c r="D50" t="str">
        <f t="shared" si="0"/>
        <v>În interval</v>
      </c>
      <c r="J50">
        <v>64</v>
      </c>
      <c r="K50">
        <v>4655.22</v>
      </c>
      <c r="L50" t="s">
        <v>357</v>
      </c>
      <c r="M50" t="str">
        <f t="shared" si="1"/>
        <v>În interval</v>
      </c>
      <c r="R50">
        <v>41</v>
      </c>
      <c r="S50">
        <v>64</v>
      </c>
      <c r="T50">
        <v>8261.2199999999993</v>
      </c>
      <c r="U50">
        <v>217.4</v>
      </c>
      <c r="V50" t="str">
        <f t="shared" si="2"/>
        <v>În interval</v>
      </c>
      <c r="W50" t="str">
        <f t="shared" si="3"/>
        <v>În interval</v>
      </c>
    </row>
    <row r="51" spans="1:23">
      <c r="A51">
        <v>31</v>
      </c>
      <c r="B51">
        <v>34720.54</v>
      </c>
      <c r="C51" t="s">
        <v>349</v>
      </c>
      <c r="D51" t="str">
        <f t="shared" si="0"/>
        <v>În interval</v>
      </c>
      <c r="J51">
        <v>65</v>
      </c>
      <c r="K51">
        <v>4760.03</v>
      </c>
      <c r="L51" t="s">
        <v>356</v>
      </c>
      <c r="M51" t="str">
        <f t="shared" si="1"/>
        <v>În interval</v>
      </c>
      <c r="R51">
        <v>43</v>
      </c>
      <c r="S51">
        <v>65</v>
      </c>
      <c r="T51">
        <v>35365.75</v>
      </c>
      <c r="U51">
        <v>609.75</v>
      </c>
      <c r="V51" t="str">
        <f t="shared" si="2"/>
        <v>În interval</v>
      </c>
      <c r="W51" t="str">
        <f t="shared" si="3"/>
        <v>În interval</v>
      </c>
    </row>
    <row r="52" spans="1:23">
      <c r="A52">
        <v>31</v>
      </c>
      <c r="B52">
        <v>47747.35</v>
      </c>
      <c r="C52" t="s">
        <v>349</v>
      </c>
      <c r="D52" t="str">
        <f t="shared" si="0"/>
        <v>În interval</v>
      </c>
      <c r="J52">
        <v>66</v>
      </c>
      <c r="K52">
        <v>2463.56</v>
      </c>
      <c r="L52" t="s">
        <v>356</v>
      </c>
      <c r="M52" t="str">
        <f t="shared" si="1"/>
        <v>În interval</v>
      </c>
      <c r="R52">
        <v>44</v>
      </c>
      <c r="S52">
        <v>66</v>
      </c>
      <c r="T52">
        <v>48651.56</v>
      </c>
      <c r="U52">
        <v>1013.57</v>
      </c>
      <c r="V52" t="str">
        <f t="shared" si="2"/>
        <v>În interval</v>
      </c>
      <c r="W52" t="str">
        <f t="shared" si="3"/>
        <v>În interval</v>
      </c>
    </row>
    <row r="53" spans="1:23">
      <c r="A53">
        <v>32</v>
      </c>
      <c r="B53">
        <v>7701.95</v>
      </c>
      <c r="C53" t="s">
        <v>349</v>
      </c>
      <c r="D53" t="str">
        <f t="shared" si="0"/>
        <v>În interval</v>
      </c>
      <c r="J53">
        <v>67</v>
      </c>
      <c r="K53">
        <v>2842.74</v>
      </c>
      <c r="L53" t="s">
        <v>358</v>
      </c>
      <c r="M53" t="str">
        <f t="shared" si="1"/>
        <v>În interval</v>
      </c>
      <c r="R53">
        <v>45</v>
      </c>
      <c r="S53">
        <v>67</v>
      </c>
      <c r="T53">
        <v>13454.85</v>
      </c>
      <c r="U53">
        <v>407.72</v>
      </c>
      <c r="V53" t="str">
        <f t="shared" si="2"/>
        <v>În interval</v>
      </c>
      <c r="W53" t="str">
        <f t="shared" si="3"/>
        <v>În interval</v>
      </c>
    </row>
    <row r="54" spans="1:23">
      <c r="A54">
        <v>32</v>
      </c>
      <c r="B54">
        <v>15425.7</v>
      </c>
      <c r="C54" t="s">
        <v>349</v>
      </c>
      <c r="D54" t="str">
        <f t="shared" si="0"/>
        <v>În interval</v>
      </c>
      <c r="J54">
        <v>68</v>
      </c>
      <c r="K54">
        <v>535.24</v>
      </c>
      <c r="L54" t="s">
        <v>357</v>
      </c>
      <c r="M54" t="str">
        <f t="shared" si="1"/>
        <v>În interval</v>
      </c>
      <c r="R54">
        <v>45</v>
      </c>
      <c r="S54">
        <v>68</v>
      </c>
      <c r="T54">
        <v>17033.759999999998</v>
      </c>
      <c r="U54">
        <v>378.53</v>
      </c>
      <c r="V54" t="str">
        <f t="shared" si="2"/>
        <v>În interval</v>
      </c>
      <c r="W54" t="str">
        <f t="shared" si="3"/>
        <v>În interval</v>
      </c>
    </row>
    <row r="55" spans="1:23">
      <c r="A55">
        <v>32</v>
      </c>
      <c r="B55">
        <v>2809.24</v>
      </c>
      <c r="C55" t="s">
        <v>349</v>
      </c>
      <c r="D55" t="str">
        <f t="shared" si="0"/>
        <v>În interval</v>
      </c>
      <c r="J55">
        <v>69</v>
      </c>
      <c r="K55">
        <v>295.81</v>
      </c>
      <c r="L55" t="s">
        <v>356</v>
      </c>
      <c r="M55" t="str">
        <f t="shared" si="1"/>
        <v>În interval</v>
      </c>
      <c r="R55">
        <v>45</v>
      </c>
      <c r="S55">
        <v>69</v>
      </c>
      <c r="T55">
        <v>24017.25</v>
      </c>
      <c r="U55">
        <v>461.87</v>
      </c>
      <c r="V55" t="str">
        <f t="shared" si="2"/>
        <v>În interval</v>
      </c>
      <c r="W55" t="str">
        <f t="shared" si="3"/>
        <v>În interval</v>
      </c>
    </row>
    <row r="56" spans="1:23">
      <c r="A56">
        <v>33</v>
      </c>
      <c r="B56">
        <v>46047.81</v>
      </c>
      <c r="C56" t="s">
        <v>348</v>
      </c>
      <c r="D56" t="str">
        <f t="shared" si="0"/>
        <v>În interval</v>
      </c>
      <c r="J56">
        <v>70</v>
      </c>
      <c r="K56">
        <v>2109.79</v>
      </c>
      <c r="L56" t="s">
        <v>358</v>
      </c>
      <c r="M56" t="str">
        <f t="shared" si="1"/>
        <v>În interval</v>
      </c>
      <c r="R56">
        <v>46</v>
      </c>
      <c r="S56">
        <v>70</v>
      </c>
      <c r="T56">
        <v>18017.11</v>
      </c>
      <c r="U56">
        <v>461.98</v>
      </c>
      <c r="V56" t="str">
        <f t="shared" si="2"/>
        <v>În interval</v>
      </c>
      <c r="W56" t="str">
        <f t="shared" si="3"/>
        <v>În interval</v>
      </c>
    </row>
    <row r="57" spans="1:23">
      <c r="A57">
        <v>34</v>
      </c>
      <c r="B57">
        <v>11353.77</v>
      </c>
      <c r="C57" t="s">
        <v>349</v>
      </c>
      <c r="D57" t="str">
        <f t="shared" si="0"/>
        <v>În interval</v>
      </c>
      <c r="J57">
        <v>71</v>
      </c>
      <c r="K57">
        <v>2476.35</v>
      </c>
      <c r="L57" t="s">
        <v>358</v>
      </c>
      <c r="M57" t="str">
        <f t="shared" si="1"/>
        <v>În interval</v>
      </c>
      <c r="R57">
        <v>46</v>
      </c>
      <c r="S57">
        <v>71</v>
      </c>
      <c r="T57">
        <v>7374.18</v>
      </c>
      <c r="U57">
        <v>153.63</v>
      </c>
      <c r="V57" t="str">
        <f t="shared" si="2"/>
        <v>În interval</v>
      </c>
      <c r="W57" t="str">
        <f t="shared" si="3"/>
        <v>În interval</v>
      </c>
    </row>
    <row r="58" spans="1:23">
      <c r="A58">
        <v>34</v>
      </c>
      <c r="B58">
        <v>20224.62</v>
      </c>
      <c r="C58" t="s">
        <v>348</v>
      </c>
      <c r="D58" t="str">
        <f t="shared" si="0"/>
        <v>În interval</v>
      </c>
      <c r="J58">
        <v>72</v>
      </c>
      <c r="K58">
        <v>1507.86</v>
      </c>
      <c r="L58" t="s">
        <v>357</v>
      </c>
      <c r="M58" t="str">
        <f t="shared" si="1"/>
        <v>În interval</v>
      </c>
      <c r="R58">
        <v>46</v>
      </c>
      <c r="S58">
        <v>72</v>
      </c>
      <c r="T58">
        <v>25271.68</v>
      </c>
      <c r="U58">
        <v>765.81</v>
      </c>
      <c r="V58" t="str">
        <f t="shared" si="2"/>
        <v>În interval</v>
      </c>
      <c r="W58" t="str">
        <f t="shared" si="3"/>
        <v>În interval</v>
      </c>
    </row>
    <row r="59" spans="1:23">
      <c r="A59">
        <v>35</v>
      </c>
      <c r="B59">
        <v>15292.37</v>
      </c>
      <c r="C59" t="s">
        <v>348</v>
      </c>
      <c r="D59" t="str">
        <f t="shared" si="0"/>
        <v>În interval</v>
      </c>
      <c r="J59">
        <v>73</v>
      </c>
      <c r="K59">
        <v>2195.79</v>
      </c>
      <c r="L59" t="s">
        <v>356</v>
      </c>
      <c r="M59" t="str">
        <f t="shared" si="1"/>
        <v>În interval</v>
      </c>
      <c r="R59">
        <v>47</v>
      </c>
      <c r="S59">
        <v>73</v>
      </c>
      <c r="T59">
        <v>10723.3</v>
      </c>
      <c r="U59">
        <v>243.71</v>
      </c>
      <c r="V59" t="str">
        <f t="shared" si="2"/>
        <v>În interval</v>
      </c>
      <c r="W59" t="str">
        <f t="shared" si="3"/>
        <v>În interval</v>
      </c>
    </row>
    <row r="60" spans="1:23">
      <c r="A60">
        <v>35</v>
      </c>
      <c r="B60">
        <v>40625</v>
      </c>
      <c r="C60" t="s">
        <v>349</v>
      </c>
      <c r="D60" t="str">
        <f t="shared" si="0"/>
        <v>În interval</v>
      </c>
      <c r="J60">
        <v>74</v>
      </c>
      <c r="K60">
        <v>1749.34</v>
      </c>
      <c r="L60" t="s">
        <v>358</v>
      </c>
      <c r="M60" t="str">
        <f t="shared" si="1"/>
        <v>În interval</v>
      </c>
      <c r="R60">
        <v>47</v>
      </c>
      <c r="S60">
        <v>74</v>
      </c>
      <c r="T60">
        <v>13454.51</v>
      </c>
      <c r="U60">
        <v>1121.21</v>
      </c>
      <c r="V60" t="str">
        <f t="shared" si="2"/>
        <v>În interval</v>
      </c>
      <c r="W60" t="str">
        <f t="shared" si="3"/>
        <v>În interval</v>
      </c>
    </row>
    <row r="61" spans="1:23">
      <c r="A61">
        <v>36</v>
      </c>
      <c r="B61">
        <v>24521.98</v>
      </c>
      <c r="C61" t="s">
        <v>348</v>
      </c>
      <c r="D61" t="str">
        <f t="shared" si="0"/>
        <v>În interval</v>
      </c>
      <c r="J61">
        <v>75</v>
      </c>
      <c r="K61">
        <v>446.19</v>
      </c>
      <c r="L61" t="s">
        <v>357</v>
      </c>
      <c r="M61" t="str">
        <f t="shared" si="1"/>
        <v>În interval</v>
      </c>
      <c r="R61">
        <v>48</v>
      </c>
      <c r="S61">
        <v>75</v>
      </c>
      <c r="T61">
        <v>38604.32</v>
      </c>
      <c r="U61">
        <v>2270.84</v>
      </c>
      <c r="V61" t="str">
        <f t="shared" si="2"/>
        <v>În interval</v>
      </c>
      <c r="W61" t="str">
        <f t="shared" si="3"/>
        <v>În interval</v>
      </c>
    </row>
    <row r="62" spans="1:23">
      <c r="A62">
        <v>36</v>
      </c>
      <c r="B62">
        <v>48966.42</v>
      </c>
      <c r="C62" t="s">
        <v>348</v>
      </c>
      <c r="D62" t="str">
        <f t="shared" si="0"/>
        <v>În interval</v>
      </c>
      <c r="J62">
        <v>76</v>
      </c>
      <c r="K62">
        <v>2085.6</v>
      </c>
      <c r="L62" t="s">
        <v>356</v>
      </c>
      <c r="M62" t="str">
        <f t="shared" si="1"/>
        <v>În interval</v>
      </c>
      <c r="R62">
        <v>48</v>
      </c>
      <c r="S62">
        <v>76</v>
      </c>
      <c r="T62">
        <v>3357.8</v>
      </c>
      <c r="U62">
        <v>176.73</v>
      </c>
      <c r="V62" t="str">
        <f t="shared" si="2"/>
        <v>În interval</v>
      </c>
      <c r="W62" t="str">
        <f t="shared" si="3"/>
        <v>În interval</v>
      </c>
    </row>
    <row r="63" spans="1:23">
      <c r="A63">
        <v>36</v>
      </c>
      <c r="B63">
        <v>33456.559999999998</v>
      </c>
      <c r="C63" t="s">
        <v>348</v>
      </c>
      <c r="D63" t="str">
        <f t="shared" si="0"/>
        <v>În interval</v>
      </c>
      <c r="J63">
        <v>77</v>
      </c>
      <c r="K63">
        <v>3421.64</v>
      </c>
      <c r="L63" t="s">
        <v>356</v>
      </c>
      <c r="M63" t="str">
        <f t="shared" si="1"/>
        <v>În interval</v>
      </c>
      <c r="R63">
        <v>48</v>
      </c>
      <c r="S63">
        <v>77</v>
      </c>
      <c r="T63">
        <v>33370.11</v>
      </c>
      <c r="U63">
        <v>878.16</v>
      </c>
      <c r="V63" t="str">
        <f t="shared" si="2"/>
        <v>În interval</v>
      </c>
      <c r="W63" t="str">
        <f t="shared" si="3"/>
        <v>În interval</v>
      </c>
    </row>
    <row r="64" spans="1:23">
      <c r="A64">
        <v>37</v>
      </c>
      <c r="B64">
        <v>33101.269999999997</v>
      </c>
      <c r="C64" t="s">
        <v>349</v>
      </c>
      <c r="D64" t="str">
        <f t="shared" si="0"/>
        <v>În interval</v>
      </c>
      <c r="J64">
        <v>78</v>
      </c>
      <c r="K64">
        <v>2593.23</v>
      </c>
      <c r="L64" t="s">
        <v>356</v>
      </c>
      <c r="M64" t="str">
        <f t="shared" si="1"/>
        <v>În interval</v>
      </c>
      <c r="R64">
        <v>49</v>
      </c>
      <c r="S64">
        <v>78</v>
      </c>
      <c r="T64">
        <v>4350.3599999999997</v>
      </c>
      <c r="U64">
        <v>111.55</v>
      </c>
      <c r="V64" t="str">
        <f t="shared" si="2"/>
        <v>În interval</v>
      </c>
      <c r="W64" t="str">
        <f t="shared" si="3"/>
        <v>În interval</v>
      </c>
    </row>
    <row r="65" spans="1:23">
      <c r="A65">
        <v>38</v>
      </c>
      <c r="B65">
        <v>39321.06</v>
      </c>
      <c r="C65" t="s">
        <v>348</v>
      </c>
      <c r="D65" t="str">
        <f t="shared" si="0"/>
        <v>În interval</v>
      </c>
      <c r="J65">
        <v>79</v>
      </c>
      <c r="K65">
        <v>3360.54</v>
      </c>
      <c r="L65" t="s">
        <v>357</v>
      </c>
      <c r="M65" t="str">
        <f t="shared" si="1"/>
        <v>În interval</v>
      </c>
      <c r="R65">
        <v>49</v>
      </c>
      <c r="S65">
        <v>79</v>
      </c>
      <c r="T65">
        <v>32511.9</v>
      </c>
      <c r="U65">
        <v>1300.48</v>
      </c>
      <c r="V65" t="str">
        <f t="shared" si="2"/>
        <v>În interval</v>
      </c>
      <c r="W65" t="str">
        <f t="shared" si="3"/>
        <v>În interval</v>
      </c>
    </row>
    <row r="66" spans="1:23">
      <c r="A66">
        <v>39</v>
      </c>
      <c r="B66">
        <v>46351.6</v>
      </c>
      <c r="C66" t="s">
        <v>348</v>
      </c>
      <c r="D66" t="str">
        <f t="shared" si="0"/>
        <v>În interval</v>
      </c>
      <c r="J66">
        <v>80</v>
      </c>
      <c r="K66">
        <v>2283.96</v>
      </c>
      <c r="L66" t="s">
        <v>356</v>
      </c>
      <c r="M66" t="str">
        <f t="shared" si="1"/>
        <v>În interval</v>
      </c>
      <c r="R66">
        <v>51</v>
      </c>
      <c r="S66">
        <v>80</v>
      </c>
      <c r="T66">
        <v>15301.34</v>
      </c>
      <c r="U66">
        <v>437.18</v>
      </c>
      <c r="V66" t="str">
        <f t="shared" si="2"/>
        <v>În interval</v>
      </c>
      <c r="W66" t="str">
        <f t="shared" si="3"/>
        <v>În interval</v>
      </c>
    </row>
    <row r="67" spans="1:23">
      <c r="A67">
        <v>40</v>
      </c>
      <c r="B67">
        <v>18906.650000000001</v>
      </c>
      <c r="C67" t="s">
        <v>348</v>
      </c>
      <c r="D67" t="str">
        <f t="shared" ref="D67:D130" si="4">IF(OR(B67&lt;$F$9,B67&gt;$F$10),"Outlier","În interval")</f>
        <v>În interval</v>
      </c>
      <c r="J67">
        <v>81</v>
      </c>
      <c r="K67">
        <v>1905.99</v>
      </c>
      <c r="L67" t="s">
        <v>356</v>
      </c>
      <c r="M67" t="str">
        <f t="shared" ref="M67:M130" si="5">IF(OR(K67&lt;$O$9,K67&gt;$O$10),"Outlier","În interval")</f>
        <v>În interval</v>
      </c>
      <c r="R67">
        <v>51</v>
      </c>
      <c r="S67">
        <v>81</v>
      </c>
      <c r="T67">
        <v>7933.82</v>
      </c>
      <c r="U67">
        <v>198.35</v>
      </c>
      <c r="V67" t="str">
        <f t="shared" ref="V67:V130" si="6">IF(OR(T67&lt;$Z$9,T67&gt;$Z$10),"Outlier","În interval")</f>
        <v>În interval</v>
      </c>
      <c r="W67" t="str">
        <f t="shared" ref="W67:W130" si="7">IF(OR(U67&lt;$Z$22,U67&gt;$Z$23),"Outlier","În interval")</f>
        <v>În interval</v>
      </c>
    </row>
    <row r="68" spans="1:23">
      <c r="A68">
        <v>40</v>
      </c>
      <c r="B68">
        <v>43634.13</v>
      </c>
      <c r="C68" t="s">
        <v>349</v>
      </c>
      <c r="D68" t="str">
        <f t="shared" si="4"/>
        <v>În interval</v>
      </c>
      <c r="J68">
        <v>82</v>
      </c>
      <c r="K68">
        <v>3242.16</v>
      </c>
      <c r="L68" t="s">
        <v>357</v>
      </c>
      <c r="M68" t="str">
        <f t="shared" si="5"/>
        <v>În interval</v>
      </c>
      <c r="R68">
        <v>52</v>
      </c>
      <c r="S68">
        <v>82</v>
      </c>
      <c r="T68">
        <v>47439.07</v>
      </c>
      <c r="U68">
        <v>1530.29</v>
      </c>
      <c r="V68" t="str">
        <f t="shared" si="6"/>
        <v>În interval</v>
      </c>
      <c r="W68" t="str">
        <f t="shared" si="7"/>
        <v>În interval</v>
      </c>
    </row>
    <row r="69" spans="1:23">
      <c r="A69">
        <v>40</v>
      </c>
      <c r="B69">
        <v>27399.17</v>
      </c>
      <c r="C69" t="s">
        <v>349</v>
      </c>
      <c r="D69" t="str">
        <f t="shared" si="4"/>
        <v>În interval</v>
      </c>
      <c r="J69">
        <v>83</v>
      </c>
      <c r="K69">
        <v>1411.37</v>
      </c>
      <c r="L69" t="s">
        <v>358</v>
      </c>
      <c r="M69" t="str">
        <f t="shared" si="5"/>
        <v>În interval</v>
      </c>
      <c r="R69">
        <v>52</v>
      </c>
      <c r="S69">
        <v>83</v>
      </c>
      <c r="T69">
        <v>34293.25</v>
      </c>
      <c r="U69">
        <v>1905.18</v>
      </c>
      <c r="V69" t="str">
        <f t="shared" si="6"/>
        <v>În interval</v>
      </c>
      <c r="W69" t="str">
        <f t="shared" si="7"/>
        <v>În interval</v>
      </c>
    </row>
    <row r="70" spans="1:23">
      <c r="A70">
        <v>41</v>
      </c>
      <c r="B70">
        <v>23969.75</v>
      </c>
      <c r="C70" t="s">
        <v>349</v>
      </c>
      <c r="D70" t="str">
        <f t="shared" si="4"/>
        <v>În interval</v>
      </c>
      <c r="J70">
        <v>84</v>
      </c>
      <c r="K70">
        <v>4202.96</v>
      </c>
      <c r="L70" t="s">
        <v>358</v>
      </c>
      <c r="M70" t="str">
        <f t="shared" si="5"/>
        <v>În interval</v>
      </c>
      <c r="R70">
        <v>54</v>
      </c>
      <c r="S70">
        <v>84</v>
      </c>
      <c r="T70">
        <v>31655.71</v>
      </c>
      <c r="U70">
        <v>1862.1</v>
      </c>
      <c r="V70" t="str">
        <f t="shared" si="6"/>
        <v>În interval</v>
      </c>
      <c r="W70" t="str">
        <f t="shared" si="7"/>
        <v>În interval</v>
      </c>
    </row>
    <row r="71" spans="1:23">
      <c r="A71">
        <v>41</v>
      </c>
      <c r="B71">
        <v>44432.73</v>
      </c>
      <c r="C71" t="s">
        <v>349</v>
      </c>
      <c r="D71" t="str">
        <f t="shared" si="4"/>
        <v>În interval</v>
      </c>
      <c r="J71">
        <v>85</v>
      </c>
      <c r="K71">
        <v>296.37</v>
      </c>
      <c r="L71" t="s">
        <v>358</v>
      </c>
      <c r="M71" t="str">
        <f t="shared" si="5"/>
        <v>În interval</v>
      </c>
      <c r="R71">
        <v>54</v>
      </c>
      <c r="S71">
        <v>85</v>
      </c>
      <c r="T71">
        <v>32164.76</v>
      </c>
      <c r="U71">
        <v>748.02</v>
      </c>
      <c r="V71" t="str">
        <f t="shared" si="6"/>
        <v>În interval</v>
      </c>
      <c r="W71" t="str">
        <f t="shared" si="7"/>
        <v>În interval</v>
      </c>
    </row>
    <row r="72" spans="1:23">
      <c r="A72">
        <v>41</v>
      </c>
      <c r="B72">
        <v>24482.48</v>
      </c>
      <c r="C72" t="s">
        <v>348</v>
      </c>
      <c r="D72" t="str">
        <f t="shared" si="4"/>
        <v>În interval</v>
      </c>
      <c r="J72">
        <v>86</v>
      </c>
      <c r="K72">
        <v>2975.26</v>
      </c>
      <c r="L72" t="s">
        <v>356</v>
      </c>
      <c r="M72" t="str">
        <f t="shared" si="5"/>
        <v>În interval</v>
      </c>
      <c r="R72">
        <v>55</v>
      </c>
      <c r="S72">
        <v>86</v>
      </c>
      <c r="T72">
        <v>10604.24</v>
      </c>
      <c r="U72">
        <v>504.96</v>
      </c>
      <c r="V72" t="str">
        <f t="shared" si="6"/>
        <v>În interval</v>
      </c>
      <c r="W72" t="str">
        <f t="shared" si="7"/>
        <v>În interval</v>
      </c>
    </row>
    <row r="73" spans="1:23">
      <c r="A73">
        <v>42</v>
      </c>
      <c r="B73">
        <v>16082.98</v>
      </c>
      <c r="C73" t="s">
        <v>349</v>
      </c>
      <c r="D73" t="str">
        <f t="shared" si="4"/>
        <v>În interval</v>
      </c>
      <c r="J73">
        <v>87</v>
      </c>
      <c r="K73">
        <v>4043.66</v>
      </c>
      <c r="L73" t="s">
        <v>356</v>
      </c>
      <c r="M73" t="str">
        <f t="shared" si="5"/>
        <v>În interval</v>
      </c>
      <c r="R73">
        <v>56</v>
      </c>
      <c r="S73">
        <v>87</v>
      </c>
      <c r="T73">
        <v>48747.15</v>
      </c>
      <c r="U73">
        <v>3481.94</v>
      </c>
      <c r="V73" t="str">
        <f t="shared" si="6"/>
        <v>În interval</v>
      </c>
      <c r="W73" t="str">
        <f t="shared" si="7"/>
        <v>În interval</v>
      </c>
    </row>
    <row r="74" spans="1:23">
      <c r="A74">
        <v>43</v>
      </c>
      <c r="B74">
        <v>15222.54</v>
      </c>
      <c r="C74" t="s">
        <v>349</v>
      </c>
      <c r="D74" t="str">
        <f t="shared" si="4"/>
        <v>În interval</v>
      </c>
      <c r="J74">
        <v>88</v>
      </c>
      <c r="K74">
        <v>4919.6000000000004</v>
      </c>
      <c r="L74" t="s">
        <v>356</v>
      </c>
      <c r="M74" t="str">
        <f t="shared" si="5"/>
        <v>În interval</v>
      </c>
      <c r="R74">
        <v>56</v>
      </c>
      <c r="S74">
        <v>88</v>
      </c>
      <c r="T74">
        <v>13763.32</v>
      </c>
      <c r="U74">
        <v>573.47</v>
      </c>
      <c r="V74" t="str">
        <f t="shared" si="6"/>
        <v>În interval</v>
      </c>
      <c r="W74" t="str">
        <f t="shared" si="7"/>
        <v>În interval</v>
      </c>
    </row>
    <row r="75" spans="1:23">
      <c r="A75">
        <v>43</v>
      </c>
      <c r="B75">
        <v>11115.95</v>
      </c>
      <c r="C75" t="s">
        <v>349</v>
      </c>
      <c r="D75" t="str">
        <f t="shared" si="4"/>
        <v>În interval</v>
      </c>
      <c r="J75">
        <v>89</v>
      </c>
      <c r="K75">
        <v>3796.72</v>
      </c>
      <c r="L75" t="s">
        <v>357</v>
      </c>
      <c r="M75" t="str">
        <f t="shared" si="5"/>
        <v>În interval</v>
      </c>
      <c r="R75">
        <v>57</v>
      </c>
      <c r="S75">
        <v>89</v>
      </c>
      <c r="T75">
        <v>5645.91</v>
      </c>
      <c r="U75">
        <v>112.92</v>
      </c>
      <c r="V75" t="str">
        <f t="shared" si="6"/>
        <v>În interval</v>
      </c>
      <c r="W75" t="str">
        <f t="shared" si="7"/>
        <v>În interval</v>
      </c>
    </row>
    <row r="76" spans="1:23">
      <c r="A76">
        <v>43</v>
      </c>
      <c r="B76">
        <v>24789.040000000001</v>
      </c>
      <c r="C76" t="s">
        <v>349</v>
      </c>
      <c r="D76" t="str">
        <f t="shared" si="4"/>
        <v>În interval</v>
      </c>
      <c r="J76">
        <v>90</v>
      </c>
      <c r="K76">
        <v>4053.62</v>
      </c>
      <c r="L76" t="s">
        <v>358</v>
      </c>
      <c r="M76" t="str">
        <f t="shared" si="5"/>
        <v>În interval</v>
      </c>
      <c r="R76">
        <v>57</v>
      </c>
      <c r="S76">
        <v>90</v>
      </c>
      <c r="T76">
        <v>47404.480000000003</v>
      </c>
      <c r="U76">
        <v>1215.5</v>
      </c>
      <c r="V76" t="str">
        <f t="shared" si="6"/>
        <v>În interval</v>
      </c>
      <c r="W76" t="str">
        <f t="shared" si="7"/>
        <v>În interval</v>
      </c>
    </row>
    <row r="77" spans="1:23">
      <c r="A77">
        <v>44</v>
      </c>
      <c r="B77">
        <v>5015.8999999999996</v>
      </c>
      <c r="C77" t="s">
        <v>348</v>
      </c>
      <c r="D77" t="str">
        <f t="shared" si="4"/>
        <v>În interval</v>
      </c>
      <c r="J77">
        <v>91</v>
      </c>
      <c r="K77">
        <v>517.42999999999995</v>
      </c>
      <c r="L77" t="s">
        <v>356</v>
      </c>
      <c r="M77" t="str">
        <f t="shared" si="5"/>
        <v>În interval</v>
      </c>
      <c r="R77">
        <v>57</v>
      </c>
      <c r="S77">
        <v>91</v>
      </c>
      <c r="T77">
        <v>34451.15</v>
      </c>
      <c r="U77">
        <v>1187.97</v>
      </c>
      <c r="V77" t="str">
        <f t="shared" si="6"/>
        <v>În interval</v>
      </c>
      <c r="W77" t="str">
        <f t="shared" si="7"/>
        <v>În interval</v>
      </c>
    </row>
    <row r="78" spans="1:23">
      <c r="A78">
        <v>44</v>
      </c>
      <c r="B78">
        <v>12337.64</v>
      </c>
      <c r="C78" t="s">
        <v>349</v>
      </c>
      <c r="D78" t="str">
        <f t="shared" si="4"/>
        <v>În interval</v>
      </c>
      <c r="J78">
        <v>92</v>
      </c>
      <c r="K78">
        <v>867.84</v>
      </c>
      <c r="L78" t="s">
        <v>358</v>
      </c>
      <c r="M78" t="str">
        <f t="shared" si="5"/>
        <v>În interval</v>
      </c>
      <c r="R78">
        <v>58</v>
      </c>
      <c r="S78">
        <v>92</v>
      </c>
      <c r="T78">
        <v>40891.879999999997</v>
      </c>
      <c r="U78">
        <v>1239.1500000000001</v>
      </c>
      <c r="V78" t="str">
        <f t="shared" si="6"/>
        <v>În interval</v>
      </c>
      <c r="W78" t="str">
        <f t="shared" si="7"/>
        <v>În interval</v>
      </c>
    </row>
    <row r="79" spans="1:23">
      <c r="A79">
        <v>45</v>
      </c>
      <c r="B79">
        <v>3237.04</v>
      </c>
      <c r="C79" t="s">
        <v>348</v>
      </c>
      <c r="D79" t="str">
        <f t="shared" si="4"/>
        <v>În interval</v>
      </c>
      <c r="J79">
        <v>93</v>
      </c>
      <c r="K79">
        <v>1170.3900000000001</v>
      </c>
      <c r="L79" t="s">
        <v>356</v>
      </c>
      <c r="M79" t="str">
        <f t="shared" si="5"/>
        <v>În interval</v>
      </c>
      <c r="R79">
        <v>59</v>
      </c>
      <c r="S79">
        <v>93</v>
      </c>
      <c r="T79">
        <v>20543.419999999998</v>
      </c>
      <c r="U79">
        <v>555.23</v>
      </c>
      <c r="V79" t="str">
        <f t="shared" si="6"/>
        <v>În interval</v>
      </c>
      <c r="W79" t="str">
        <f t="shared" si="7"/>
        <v>În interval</v>
      </c>
    </row>
    <row r="80" spans="1:23">
      <c r="A80">
        <v>45</v>
      </c>
      <c r="B80">
        <v>33088.35</v>
      </c>
      <c r="C80" t="s">
        <v>348</v>
      </c>
      <c r="D80" t="str">
        <f t="shared" si="4"/>
        <v>În interval</v>
      </c>
      <c r="J80">
        <v>94</v>
      </c>
      <c r="K80">
        <v>4318.9799999999996</v>
      </c>
      <c r="L80" t="s">
        <v>357</v>
      </c>
      <c r="M80" t="str">
        <f t="shared" si="5"/>
        <v>În interval</v>
      </c>
      <c r="R80">
        <v>59</v>
      </c>
      <c r="S80">
        <v>94</v>
      </c>
      <c r="T80">
        <v>23904.99</v>
      </c>
      <c r="U80">
        <v>468.73</v>
      </c>
      <c r="V80" t="str">
        <f t="shared" si="6"/>
        <v>În interval</v>
      </c>
      <c r="W80" t="str">
        <f t="shared" si="7"/>
        <v>În interval</v>
      </c>
    </row>
    <row r="81" spans="1:23">
      <c r="A81">
        <v>46</v>
      </c>
      <c r="B81">
        <v>29585.64</v>
      </c>
      <c r="C81" t="s">
        <v>349</v>
      </c>
      <c r="D81" t="str">
        <f t="shared" si="4"/>
        <v>În interval</v>
      </c>
      <c r="J81">
        <v>95</v>
      </c>
      <c r="K81">
        <v>235.16</v>
      </c>
      <c r="L81" t="s">
        <v>357</v>
      </c>
      <c r="M81" t="str">
        <f t="shared" si="5"/>
        <v>În interval</v>
      </c>
      <c r="R81">
        <v>59</v>
      </c>
      <c r="S81">
        <v>95</v>
      </c>
      <c r="T81">
        <v>42543.24</v>
      </c>
      <c r="U81">
        <v>2025.87</v>
      </c>
      <c r="V81" t="str">
        <f t="shared" si="6"/>
        <v>În interval</v>
      </c>
      <c r="W81" t="str">
        <f t="shared" si="7"/>
        <v>În interval</v>
      </c>
    </row>
    <row r="82" spans="1:23">
      <c r="A82">
        <v>46</v>
      </c>
      <c r="B82">
        <v>33855.22</v>
      </c>
      <c r="C82" t="s">
        <v>349</v>
      </c>
      <c r="D82" t="str">
        <f t="shared" si="4"/>
        <v>În interval</v>
      </c>
      <c r="J82">
        <v>96</v>
      </c>
      <c r="K82">
        <v>463.11</v>
      </c>
      <c r="L82" t="s">
        <v>358</v>
      </c>
      <c r="M82" t="str">
        <f t="shared" si="5"/>
        <v>În interval</v>
      </c>
      <c r="R82">
        <v>61</v>
      </c>
      <c r="S82">
        <v>96</v>
      </c>
      <c r="T82">
        <v>15695.34</v>
      </c>
      <c r="U82">
        <v>1207.33</v>
      </c>
      <c r="V82" t="str">
        <f t="shared" si="6"/>
        <v>În interval</v>
      </c>
      <c r="W82" t="str">
        <f t="shared" si="7"/>
        <v>În interval</v>
      </c>
    </row>
    <row r="83" spans="1:23">
      <c r="A83">
        <v>47</v>
      </c>
      <c r="B83">
        <v>8317.2000000000007</v>
      </c>
      <c r="C83" t="s">
        <v>349</v>
      </c>
      <c r="D83" t="str">
        <f t="shared" si="4"/>
        <v>În interval</v>
      </c>
      <c r="J83">
        <v>97</v>
      </c>
      <c r="K83">
        <v>2088.79</v>
      </c>
      <c r="L83" t="s">
        <v>357</v>
      </c>
      <c r="M83" t="str">
        <f t="shared" si="5"/>
        <v>În interval</v>
      </c>
      <c r="R83">
        <v>61</v>
      </c>
      <c r="S83">
        <v>97</v>
      </c>
      <c r="T83">
        <v>12325.71</v>
      </c>
      <c r="U83">
        <v>456.51</v>
      </c>
      <c r="V83" t="str">
        <f t="shared" si="6"/>
        <v>În interval</v>
      </c>
      <c r="W83" t="str">
        <f t="shared" si="7"/>
        <v>În interval</v>
      </c>
    </row>
    <row r="84" spans="1:23">
      <c r="A84">
        <v>48</v>
      </c>
      <c r="B84">
        <v>35070.79</v>
      </c>
      <c r="C84" t="s">
        <v>348</v>
      </c>
      <c r="D84" t="str">
        <f t="shared" si="4"/>
        <v>În interval</v>
      </c>
      <c r="J84">
        <v>98</v>
      </c>
      <c r="K84">
        <v>3584.19</v>
      </c>
      <c r="L84" t="s">
        <v>358</v>
      </c>
      <c r="M84" t="str">
        <f t="shared" si="5"/>
        <v>În interval</v>
      </c>
      <c r="R84">
        <v>61</v>
      </c>
      <c r="S84">
        <v>98</v>
      </c>
      <c r="T84">
        <v>3009.62</v>
      </c>
      <c r="U84">
        <v>88.52</v>
      </c>
      <c r="V84" t="str">
        <f t="shared" si="6"/>
        <v>În interval</v>
      </c>
      <c r="W84" t="str">
        <f t="shared" si="7"/>
        <v>În interval</v>
      </c>
    </row>
    <row r="85" spans="1:23">
      <c r="A85">
        <v>48</v>
      </c>
      <c r="B85">
        <v>5324.97</v>
      </c>
      <c r="C85" t="s">
        <v>348</v>
      </c>
      <c r="D85" t="str">
        <f t="shared" si="4"/>
        <v>În interval</v>
      </c>
      <c r="J85">
        <v>99</v>
      </c>
      <c r="K85">
        <v>1725.15</v>
      </c>
      <c r="L85" t="s">
        <v>358</v>
      </c>
      <c r="M85" t="str">
        <f t="shared" si="5"/>
        <v>În interval</v>
      </c>
      <c r="R85">
        <v>62</v>
      </c>
      <c r="S85">
        <v>99</v>
      </c>
      <c r="T85">
        <v>34572.620000000003</v>
      </c>
      <c r="U85">
        <v>585.98</v>
      </c>
      <c r="V85" t="str">
        <f t="shared" si="6"/>
        <v>În interval</v>
      </c>
      <c r="W85" t="str">
        <f t="shared" si="7"/>
        <v>În interval</v>
      </c>
    </row>
    <row r="86" spans="1:23">
      <c r="A86">
        <v>48</v>
      </c>
      <c r="B86">
        <v>1307.98</v>
      </c>
      <c r="C86" t="s">
        <v>349</v>
      </c>
      <c r="D86" t="str">
        <f t="shared" si="4"/>
        <v>În interval</v>
      </c>
      <c r="J86">
        <v>100</v>
      </c>
      <c r="K86">
        <v>849.34</v>
      </c>
      <c r="L86" t="s">
        <v>357</v>
      </c>
      <c r="M86" t="str">
        <f t="shared" si="5"/>
        <v>În interval</v>
      </c>
      <c r="R86">
        <v>62</v>
      </c>
      <c r="S86">
        <v>100</v>
      </c>
      <c r="T86">
        <v>42628.959999999999</v>
      </c>
      <c r="U86">
        <v>947.31</v>
      </c>
      <c r="V86" t="str">
        <f t="shared" si="6"/>
        <v>În interval</v>
      </c>
      <c r="W86" t="str">
        <f t="shared" si="7"/>
        <v>În interval</v>
      </c>
    </row>
    <row r="87" spans="1:23">
      <c r="A87">
        <v>49</v>
      </c>
      <c r="B87">
        <v>9388.6299999999992</v>
      </c>
      <c r="C87" t="s">
        <v>348</v>
      </c>
      <c r="D87" t="str">
        <f t="shared" si="4"/>
        <v>În interval</v>
      </c>
      <c r="J87">
        <v>101</v>
      </c>
      <c r="K87">
        <v>1773.74</v>
      </c>
      <c r="L87" t="s">
        <v>356</v>
      </c>
      <c r="M87" t="str">
        <f t="shared" si="5"/>
        <v>În interval</v>
      </c>
      <c r="R87">
        <v>64</v>
      </c>
      <c r="S87">
        <v>101</v>
      </c>
      <c r="T87">
        <v>35530.050000000003</v>
      </c>
      <c r="U87">
        <v>2220.63</v>
      </c>
      <c r="V87" t="str">
        <f t="shared" si="6"/>
        <v>În interval</v>
      </c>
      <c r="W87" t="str">
        <f t="shared" si="7"/>
        <v>În interval</v>
      </c>
    </row>
    <row r="88" spans="1:23">
      <c r="A88">
        <v>49</v>
      </c>
      <c r="B88">
        <v>13741.48</v>
      </c>
      <c r="C88" t="s">
        <v>348</v>
      </c>
      <c r="D88" t="str">
        <f t="shared" si="4"/>
        <v>În interval</v>
      </c>
      <c r="J88">
        <v>102</v>
      </c>
      <c r="K88">
        <v>3090.69</v>
      </c>
      <c r="L88" t="s">
        <v>357</v>
      </c>
      <c r="M88" t="str">
        <f t="shared" si="5"/>
        <v>În interval</v>
      </c>
      <c r="R88">
        <v>64</v>
      </c>
      <c r="S88">
        <v>102</v>
      </c>
      <c r="T88">
        <v>13030.3</v>
      </c>
      <c r="U88">
        <v>245.85</v>
      </c>
      <c r="V88" t="str">
        <f t="shared" si="6"/>
        <v>În interval</v>
      </c>
      <c r="W88" t="str">
        <f t="shared" si="7"/>
        <v>În interval</v>
      </c>
    </row>
    <row r="89" spans="1:23">
      <c r="A89">
        <v>49</v>
      </c>
      <c r="B89">
        <v>7788.41</v>
      </c>
      <c r="C89" t="s">
        <v>349</v>
      </c>
      <c r="D89" t="str">
        <f t="shared" si="4"/>
        <v>În interval</v>
      </c>
      <c r="J89">
        <v>103</v>
      </c>
      <c r="K89">
        <v>1907.59</v>
      </c>
      <c r="L89" t="s">
        <v>357</v>
      </c>
      <c r="M89" t="str">
        <f t="shared" si="5"/>
        <v>În interval</v>
      </c>
      <c r="R89">
        <v>66</v>
      </c>
      <c r="S89">
        <v>103</v>
      </c>
      <c r="T89">
        <v>18203.11</v>
      </c>
      <c r="U89">
        <v>491.98</v>
      </c>
      <c r="V89" t="str">
        <f t="shared" si="6"/>
        <v>În interval</v>
      </c>
      <c r="W89" t="str">
        <f t="shared" si="7"/>
        <v>În interval</v>
      </c>
    </row>
    <row r="90" spans="1:23">
      <c r="A90">
        <v>50</v>
      </c>
      <c r="B90">
        <v>46859.98</v>
      </c>
      <c r="C90" t="s">
        <v>348</v>
      </c>
      <c r="D90" t="str">
        <f t="shared" si="4"/>
        <v>În interval</v>
      </c>
      <c r="J90">
        <v>104</v>
      </c>
      <c r="K90">
        <v>3307.91</v>
      </c>
      <c r="L90" t="s">
        <v>356</v>
      </c>
      <c r="M90" t="str">
        <f t="shared" si="5"/>
        <v>În interval</v>
      </c>
      <c r="R90">
        <v>66</v>
      </c>
      <c r="S90">
        <v>104</v>
      </c>
      <c r="T90">
        <v>41896.129999999997</v>
      </c>
      <c r="U90">
        <v>710.1</v>
      </c>
      <c r="V90" t="str">
        <f t="shared" si="6"/>
        <v>În interval</v>
      </c>
      <c r="W90" t="str">
        <f t="shared" si="7"/>
        <v>În interval</v>
      </c>
    </row>
    <row r="91" spans="1:23">
      <c r="A91">
        <v>51</v>
      </c>
      <c r="B91">
        <v>46346.82</v>
      </c>
      <c r="C91" t="s">
        <v>349</v>
      </c>
      <c r="D91" t="str">
        <f t="shared" si="4"/>
        <v>În interval</v>
      </c>
      <c r="J91">
        <v>105</v>
      </c>
      <c r="K91">
        <v>4735.95</v>
      </c>
      <c r="L91" t="s">
        <v>358</v>
      </c>
      <c r="M91" t="str">
        <f t="shared" si="5"/>
        <v>În interval</v>
      </c>
      <c r="R91">
        <v>68</v>
      </c>
      <c r="S91">
        <v>105</v>
      </c>
      <c r="T91">
        <v>37440.15</v>
      </c>
      <c r="U91">
        <v>764.08</v>
      </c>
      <c r="V91" t="str">
        <f t="shared" si="6"/>
        <v>În interval</v>
      </c>
      <c r="W91" t="str">
        <f t="shared" si="7"/>
        <v>În interval</v>
      </c>
    </row>
    <row r="92" spans="1:23">
      <c r="A92">
        <v>52</v>
      </c>
      <c r="B92">
        <v>39651.440000000002</v>
      </c>
      <c r="C92" t="s">
        <v>349</v>
      </c>
      <c r="D92" t="str">
        <f t="shared" si="4"/>
        <v>În interval</v>
      </c>
      <c r="J92">
        <v>106</v>
      </c>
      <c r="K92">
        <v>2390.5500000000002</v>
      </c>
      <c r="L92" t="s">
        <v>357</v>
      </c>
      <c r="M92" t="str">
        <f t="shared" si="5"/>
        <v>În interval</v>
      </c>
      <c r="R92">
        <v>69</v>
      </c>
      <c r="S92">
        <v>106</v>
      </c>
      <c r="T92">
        <v>12998.76</v>
      </c>
      <c r="U92">
        <v>295.43</v>
      </c>
      <c r="V92" t="str">
        <f t="shared" si="6"/>
        <v>În interval</v>
      </c>
      <c r="W92" t="str">
        <f t="shared" si="7"/>
        <v>În interval</v>
      </c>
    </row>
    <row r="93" spans="1:23">
      <c r="A93">
        <v>53</v>
      </c>
      <c r="B93">
        <v>10940.98</v>
      </c>
      <c r="C93" t="s">
        <v>349</v>
      </c>
      <c r="D93" t="str">
        <f t="shared" si="4"/>
        <v>În interval</v>
      </c>
      <c r="J93">
        <v>107</v>
      </c>
      <c r="K93">
        <v>1301.95</v>
      </c>
      <c r="L93" t="s">
        <v>357</v>
      </c>
      <c r="M93" t="str">
        <f t="shared" si="5"/>
        <v>În interval</v>
      </c>
      <c r="R93">
        <v>71</v>
      </c>
      <c r="S93">
        <v>107</v>
      </c>
      <c r="T93">
        <v>19675.12</v>
      </c>
      <c r="U93">
        <v>562.15</v>
      </c>
      <c r="V93" t="str">
        <f t="shared" si="6"/>
        <v>În interval</v>
      </c>
      <c r="W93" t="str">
        <f t="shared" si="7"/>
        <v>În interval</v>
      </c>
    </row>
    <row r="94" spans="1:23">
      <c r="A94">
        <v>53</v>
      </c>
      <c r="B94">
        <v>49036.72</v>
      </c>
      <c r="C94" t="s">
        <v>349</v>
      </c>
      <c r="D94" t="str">
        <f t="shared" si="4"/>
        <v>În interval</v>
      </c>
      <c r="J94">
        <v>108</v>
      </c>
      <c r="K94">
        <v>4307.12</v>
      </c>
      <c r="L94" t="s">
        <v>358</v>
      </c>
      <c r="M94" t="str">
        <f t="shared" si="5"/>
        <v>În interval</v>
      </c>
      <c r="R94">
        <v>72</v>
      </c>
      <c r="S94">
        <v>108</v>
      </c>
      <c r="T94">
        <v>17773.189999999999</v>
      </c>
      <c r="U94">
        <v>335.34</v>
      </c>
      <c r="V94" t="str">
        <f t="shared" si="6"/>
        <v>În interval</v>
      </c>
      <c r="W94" t="str">
        <f t="shared" si="7"/>
        <v>În interval</v>
      </c>
    </row>
    <row r="95" spans="1:23">
      <c r="A95">
        <v>53</v>
      </c>
      <c r="B95">
        <v>3181.14</v>
      </c>
      <c r="C95" t="s">
        <v>348</v>
      </c>
      <c r="D95" t="str">
        <f t="shared" si="4"/>
        <v>În interval</v>
      </c>
      <c r="J95">
        <v>109</v>
      </c>
      <c r="K95">
        <v>3838.88</v>
      </c>
      <c r="L95" t="s">
        <v>356</v>
      </c>
      <c r="M95" t="str">
        <f t="shared" si="5"/>
        <v>În interval</v>
      </c>
      <c r="R95">
        <v>72</v>
      </c>
      <c r="S95">
        <v>109</v>
      </c>
      <c r="T95">
        <v>44852.41</v>
      </c>
      <c r="U95">
        <v>815.5</v>
      </c>
      <c r="V95" t="str">
        <f t="shared" si="6"/>
        <v>În interval</v>
      </c>
      <c r="W95" t="str">
        <f t="shared" si="7"/>
        <v>În interval</v>
      </c>
    </row>
    <row r="96" spans="1:23">
      <c r="A96">
        <v>54</v>
      </c>
      <c r="B96">
        <v>5909.76</v>
      </c>
      <c r="C96" t="s">
        <v>349</v>
      </c>
      <c r="D96" t="str">
        <f t="shared" si="4"/>
        <v>În interval</v>
      </c>
      <c r="J96">
        <v>110</v>
      </c>
      <c r="K96">
        <v>2541.06</v>
      </c>
      <c r="L96" t="s">
        <v>357</v>
      </c>
      <c r="M96" t="str">
        <f t="shared" si="5"/>
        <v>În interval</v>
      </c>
      <c r="R96">
        <v>73</v>
      </c>
      <c r="S96">
        <v>110</v>
      </c>
      <c r="T96">
        <v>4981.71</v>
      </c>
      <c r="U96">
        <v>237.22</v>
      </c>
      <c r="V96" t="str">
        <f t="shared" si="6"/>
        <v>În interval</v>
      </c>
      <c r="W96" t="str">
        <f t="shared" si="7"/>
        <v>În interval</v>
      </c>
    </row>
    <row r="97" spans="1:23">
      <c r="A97">
        <v>54</v>
      </c>
      <c r="B97">
        <v>36683.519999999997</v>
      </c>
      <c r="C97" t="s">
        <v>348</v>
      </c>
      <c r="D97" t="str">
        <f t="shared" si="4"/>
        <v>În interval</v>
      </c>
      <c r="J97">
        <v>111</v>
      </c>
      <c r="K97">
        <v>1240.9100000000001</v>
      </c>
      <c r="L97" t="s">
        <v>357</v>
      </c>
      <c r="M97" t="str">
        <f t="shared" si="5"/>
        <v>În interval</v>
      </c>
      <c r="R97">
        <v>74</v>
      </c>
      <c r="S97">
        <v>111</v>
      </c>
      <c r="T97">
        <v>12367.88</v>
      </c>
      <c r="U97">
        <v>398.96</v>
      </c>
      <c r="V97" t="str">
        <f t="shared" si="6"/>
        <v>În interval</v>
      </c>
      <c r="W97" t="str">
        <f t="shared" si="7"/>
        <v>În interval</v>
      </c>
    </row>
    <row r="98" spans="1:23">
      <c r="A98">
        <v>55</v>
      </c>
      <c r="B98">
        <v>22383.01</v>
      </c>
      <c r="C98" t="s">
        <v>348</v>
      </c>
      <c r="D98" t="str">
        <f t="shared" si="4"/>
        <v>În interval</v>
      </c>
      <c r="J98">
        <v>112</v>
      </c>
      <c r="K98">
        <v>4819.88</v>
      </c>
      <c r="L98" t="s">
        <v>358</v>
      </c>
      <c r="M98" t="str">
        <f t="shared" si="5"/>
        <v>În interval</v>
      </c>
      <c r="R98">
        <v>74</v>
      </c>
      <c r="S98">
        <v>112</v>
      </c>
      <c r="T98">
        <v>6243.04</v>
      </c>
      <c r="U98">
        <v>390.19</v>
      </c>
      <c r="V98" t="str">
        <f t="shared" si="6"/>
        <v>În interval</v>
      </c>
      <c r="W98" t="str">
        <f t="shared" si="7"/>
        <v>În interval</v>
      </c>
    </row>
    <row r="99" spans="1:23">
      <c r="A99">
        <v>55</v>
      </c>
      <c r="B99">
        <v>10417.620000000001</v>
      </c>
      <c r="C99" t="s">
        <v>348</v>
      </c>
      <c r="D99" t="str">
        <f t="shared" si="4"/>
        <v>În interval</v>
      </c>
      <c r="J99">
        <v>113</v>
      </c>
      <c r="K99">
        <v>1270.67</v>
      </c>
      <c r="L99" t="s">
        <v>356</v>
      </c>
      <c r="M99" t="str">
        <f t="shared" si="5"/>
        <v>În interval</v>
      </c>
      <c r="R99">
        <v>74</v>
      </c>
      <c r="S99">
        <v>113</v>
      </c>
      <c r="T99">
        <v>18542.46</v>
      </c>
      <c r="U99">
        <v>662.23</v>
      </c>
      <c r="V99" t="str">
        <f t="shared" si="6"/>
        <v>În interval</v>
      </c>
      <c r="W99" t="str">
        <f t="shared" si="7"/>
        <v>În interval</v>
      </c>
    </row>
    <row r="100" spans="1:23">
      <c r="A100">
        <v>55</v>
      </c>
      <c r="B100">
        <v>28565.95</v>
      </c>
      <c r="C100" t="s">
        <v>348</v>
      </c>
      <c r="D100" t="str">
        <f t="shared" si="4"/>
        <v>În interval</v>
      </c>
      <c r="J100">
        <v>114</v>
      </c>
      <c r="K100">
        <v>2355.38</v>
      </c>
      <c r="L100" t="s">
        <v>358</v>
      </c>
      <c r="M100" t="str">
        <f t="shared" si="5"/>
        <v>În interval</v>
      </c>
      <c r="R100">
        <v>76</v>
      </c>
      <c r="S100">
        <v>114</v>
      </c>
      <c r="T100">
        <v>10793.71</v>
      </c>
      <c r="U100">
        <v>513.99</v>
      </c>
      <c r="V100" t="str">
        <f t="shared" si="6"/>
        <v>În interval</v>
      </c>
      <c r="W100" t="str">
        <f t="shared" si="7"/>
        <v>În interval</v>
      </c>
    </row>
    <row r="101" spans="1:23">
      <c r="A101">
        <v>56</v>
      </c>
      <c r="B101">
        <v>41074.720000000001</v>
      </c>
      <c r="C101" t="s">
        <v>348</v>
      </c>
      <c r="D101" t="str">
        <f t="shared" si="4"/>
        <v>În interval</v>
      </c>
      <c r="J101">
        <v>115</v>
      </c>
      <c r="K101">
        <v>4322.32</v>
      </c>
      <c r="L101" t="s">
        <v>357</v>
      </c>
      <c r="M101" t="str">
        <f t="shared" si="5"/>
        <v>În interval</v>
      </c>
      <c r="R101">
        <v>77</v>
      </c>
      <c r="S101">
        <v>115</v>
      </c>
      <c r="T101">
        <v>12177.74</v>
      </c>
      <c r="U101">
        <v>507.41</v>
      </c>
      <c r="V101" t="str">
        <f t="shared" si="6"/>
        <v>În interval</v>
      </c>
      <c r="W101" t="str">
        <f t="shared" si="7"/>
        <v>În interval</v>
      </c>
    </row>
    <row r="102" spans="1:23">
      <c r="A102">
        <v>56</v>
      </c>
      <c r="B102">
        <v>30463.119999999999</v>
      </c>
      <c r="C102" t="s">
        <v>349</v>
      </c>
      <c r="D102" t="str">
        <f t="shared" si="4"/>
        <v>În interval</v>
      </c>
      <c r="J102">
        <v>116</v>
      </c>
      <c r="K102">
        <v>4237.2700000000004</v>
      </c>
      <c r="L102" t="s">
        <v>358</v>
      </c>
      <c r="M102" t="str">
        <f t="shared" si="5"/>
        <v>În interval</v>
      </c>
      <c r="R102">
        <v>78</v>
      </c>
      <c r="S102">
        <v>116</v>
      </c>
      <c r="T102">
        <v>1090.77</v>
      </c>
      <c r="U102">
        <v>29.48</v>
      </c>
      <c r="V102" t="str">
        <f t="shared" si="6"/>
        <v>În interval</v>
      </c>
      <c r="W102" t="str">
        <f t="shared" si="7"/>
        <v>În interval</v>
      </c>
    </row>
    <row r="103" spans="1:23">
      <c r="A103">
        <v>57</v>
      </c>
      <c r="B103">
        <v>34622.239999999998</v>
      </c>
      <c r="C103" t="s">
        <v>348</v>
      </c>
      <c r="D103" t="str">
        <f t="shared" si="4"/>
        <v>În interval</v>
      </c>
      <c r="J103">
        <v>117</v>
      </c>
      <c r="K103">
        <v>3377.3</v>
      </c>
      <c r="L103" t="s">
        <v>356</v>
      </c>
      <c r="M103" t="str">
        <f t="shared" si="5"/>
        <v>În interval</v>
      </c>
      <c r="R103">
        <v>79</v>
      </c>
      <c r="S103">
        <v>117</v>
      </c>
      <c r="T103">
        <v>26837.96</v>
      </c>
      <c r="U103">
        <v>725.35</v>
      </c>
      <c r="V103" t="str">
        <f t="shared" si="6"/>
        <v>În interval</v>
      </c>
      <c r="W103" t="str">
        <f t="shared" si="7"/>
        <v>În interval</v>
      </c>
    </row>
    <row r="104" spans="1:23">
      <c r="A104">
        <v>57</v>
      </c>
      <c r="B104">
        <v>41235.85</v>
      </c>
      <c r="C104" t="s">
        <v>349</v>
      </c>
      <c r="D104" t="str">
        <f t="shared" si="4"/>
        <v>În interval</v>
      </c>
      <c r="J104">
        <v>118</v>
      </c>
      <c r="K104">
        <v>1257.76</v>
      </c>
      <c r="L104" t="s">
        <v>357</v>
      </c>
      <c r="M104" t="str">
        <f t="shared" si="5"/>
        <v>În interval</v>
      </c>
      <c r="R104">
        <v>80</v>
      </c>
      <c r="S104">
        <v>118</v>
      </c>
      <c r="T104">
        <v>24739.599999999999</v>
      </c>
      <c r="U104">
        <v>575.34</v>
      </c>
      <c r="V104" t="str">
        <f t="shared" si="6"/>
        <v>În interval</v>
      </c>
      <c r="W104" t="str">
        <f t="shared" si="7"/>
        <v>În interval</v>
      </c>
    </row>
    <row r="105" spans="1:23">
      <c r="A105">
        <v>58</v>
      </c>
      <c r="B105">
        <v>517.44000000000005</v>
      </c>
      <c r="C105" t="s">
        <v>349</v>
      </c>
      <c r="D105" t="str">
        <f t="shared" si="4"/>
        <v>În interval</v>
      </c>
      <c r="J105">
        <v>119</v>
      </c>
      <c r="K105">
        <v>2892.62</v>
      </c>
      <c r="L105" t="s">
        <v>358</v>
      </c>
      <c r="M105" t="str">
        <f t="shared" si="5"/>
        <v>În interval</v>
      </c>
      <c r="R105">
        <v>83</v>
      </c>
      <c r="S105">
        <v>119</v>
      </c>
      <c r="T105">
        <v>24788.44</v>
      </c>
      <c r="U105">
        <v>486.05</v>
      </c>
      <c r="V105" t="str">
        <f t="shared" si="6"/>
        <v>În interval</v>
      </c>
      <c r="W105" t="str">
        <f t="shared" si="7"/>
        <v>În interval</v>
      </c>
    </row>
    <row r="106" spans="1:23">
      <c r="A106">
        <v>58</v>
      </c>
      <c r="B106">
        <v>27333.040000000001</v>
      </c>
      <c r="C106" t="s">
        <v>348</v>
      </c>
      <c r="D106" t="str">
        <f t="shared" si="4"/>
        <v>În interval</v>
      </c>
      <c r="J106">
        <v>120</v>
      </c>
      <c r="K106">
        <v>808.6</v>
      </c>
      <c r="L106" t="s">
        <v>358</v>
      </c>
      <c r="M106" t="str">
        <f t="shared" si="5"/>
        <v>În interval</v>
      </c>
      <c r="R106">
        <v>83</v>
      </c>
      <c r="S106">
        <v>120</v>
      </c>
      <c r="T106">
        <v>42296.19</v>
      </c>
      <c r="U106">
        <v>1762.34</v>
      </c>
      <c r="V106" t="str">
        <f t="shared" si="6"/>
        <v>În interval</v>
      </c>
      <c r="W106" t="str">
        <f t="shared" si="7"/>
        <v>În interval</v>
      </c>
    </row>
    <row r="107" spans="1:23">
      <c r="A107">
        <v>59</v>
      </c>
      <c r="B107">
        <v>16906.27</v>
      </c>
      <c r="C107" t="s">
        <v>349</v>
      </c>
      <c r="D107" t="str">
        <f t="shared" si="4"/>
        <v>În interval</v>
      </c>
      <c r="J107">
        <v>121</v>
      </c>
      <c r="K107">
        <v>791.43</v>
      </c>
      <c r="L107" t="s">
        <v>357</v>
      </c>
      <c r="M107" t="str">
        <f t="shared" si="5"/>
        <v>În interval</v>
      </c>
      <c r="R107">
        <v>84</v>
      </c>
      <c r="S107">
        <v>121</v>
      </c>
      <c r="T107">
        <v>13164.96</v>
      </c>
      <c r="U107">
        <v>329.12</v>
      </c>
      <c r="V107" t="str">
        <f t="shared" si="6"/>
        <v>În interval</v>
      </c>
      <c r="W107" t="str">
        <f t="shared" si="7"/>
        <v>În interval</v>
      </c>
    </row>
    <row r="108" spans="1:23">
      <c r="A108">
        <v>59</v>
      </c>
      <c r="B108">
        <v>39962.959999999999</v>
      </c>
      <c r="C108" t="s">
        <v>348</v>
      </c>
      <c r="D108" t="str">
        <f t="shared" si="4"/>
        <v>În interval</v>
      </c>
      <c r="J108">
        <v>122</v>
      </c>
      <c r="K108">
        <v>4418.3</v>
      </c>
      <c r="L108" t="s">
        <v>356</v>
      </c>
      <c r="M108" t="str">
        <f t="shared" si="5"/>
        <v>În interval</v>
      </c>
      <c r="R108">
        <v>84</v>
      </c>
      <c r="S108">
        <v>122</v>
      </c>
      <c r="T108">
        <v>33830.22</v>
      </c>
      <c r="U108">
        <v>563.84</v>
      </c>
      <c r="V108" t="str">
        <f t="shared" si="6"/>
        <v>În interval</v>
      </c>
      <c r="W108" t="str">
        <f t="shared" si="7"/>
        <v>În interval</v>
      </c>
    </row>
    <row r="109" spans="1:23">
      <c r="A109">
        <v>60</v>
      </c>
      <c r="B109">
        <v>16238.83</v>
      </c>
      <c r="C109" t="s">
        <v>349</v>
      </c>
      <c r="D109" t="str">
        <f t="shared" si="4"/>
        <v>În interval</v>
      </c>
      <c r="J109">
        <v>123</v>
      </c>
      <c r="K109">
        <v>2711.19</v>
      </c>
      <c r="L109" t="s">
        <v>358</v>
      </c>
      <c r="M109" t="str">
        <f t="shared" si="5"/>
        <v>În interval</v>
      </c>
      <c r="R109">
        <v>84</v>
      </c>
      <c r="S109">
        <v>123</v>
      </c>
      <c r="T109">
        <v>9608.41</v>
      </c>
      <c r="U109">
        <v>259.69</v>
      </c>
      <c r="V109" t="str">
        <f t="shared" si="6"/>
        <v>În interval</v>
      </c>
      <c r="W109" t="str">
        <f t="shared" si="7"/>
        <v>În interval</v>
      </c>
    </row>
    <row r="110" spans="1:23">
      <c r="A110">
        <v>60</v>
      </c>
      <c r="B110">
        <v>37986.19</v>
      </c>
      <c r="C110" t="s">
        <v>348</v>
      </c>
      <c r="D110" t="str">
        <f t="shared" si="4"/>
        <v>În interval</v>
      </c>
      <c r="J110">
        <v>124</v>
      </c>
      <c r="K110">
        <v>3946.51</v>
      </c>
      <c r="L110" t="s">
        <v>358</v>
      </c>
      <c r="M110" t="str">
        <f t="shared" si="5"/>
        <v>În interval</v>
      </c>
      <c r="R110">
        <v>85</v>
      </c>
      <c r="S110">
        <v>124</v>
      </c>
      <c r="T110">
        <v>47467.87</v>
      </c>
      <c r="U110">
        <v>1695.28</v>
      </c>
      <c r="V110" t="str">
        <f t="shared" si="6"/>
        <v>În interval</v>
      </c>
      <c r="W110" t="str">
        <f t="shared" si="7"/>
        <v>În interval</v>
      </c>
    </row>
    <row r="111" spans="1:23">
      <c r="A111">
        <v>60</v>
      </c>
      <c r="B111">
        <v>9527.2099999999991</v>
      </c>
      <c r="C111" t="s">
        <v>348</v>
      </c>
      <c r="D111" t="str">
        <f t="shared" si="4"/>
        <v>În interval</v>
      </c>
      <c r="J111">
        <v>125</v>
      </c>
      <c r="K111">
        <v>4503.37</v>
      </c>
      <c r="L111" t="s">
        <v>357</v>
      </c>
      <c r="M111" t="str">
        <f t="shared" si="5"/>
        <v>În interval</v>
      </c>
      <c r="R111">
        <v>85</v>
      </c>
      <c r="S111">
        <v>125</v>
      </c>
      <c r="T111">
        <v>26344.77</v>
      </c>
      <c r="U111">
        <v>878.16</v>
      </c>
      <c r="V111" t="str">
        <f t="shared" si="6"/>
        <v>În interval</v>
      </c>
      <c r="W111" t="str">
        <f t="shared" si="7"/>
        <v>În interval</v>
      </c>
    </row>
    <row r="112" spans="1:23">
      <c r="A112">
        <v>61</v>
      </c>
      <c r="B112">
        <v>20379.75</v>
      </c>
      <c r="C112" t="s">
        <v>348</v>
      </c>
      <c r="D112" t="str">
        <f t="shared" si="4"/>
        <v>În interval</v>
      </c>
      <c r="J112">
        <v>126</v>
      </c>
      <c r="K112">
        <v>4280.8599999999997</v>
      </c>
      <c r="L112" t="s">
        <v>356</v>
      </c>
      <c r="M112" t="str">
        <f t="shared" si="5"/>
        <v>În interval</v>
      </c>
      <c r="R112">
        <v>86</v>
      </c>
      <c r="S112">
        <v>126</v>
      </c>
      <c r="T112">
        <v>48928.32</v>
      </c>
      <c r="U112">
        <v>906.08</v>
      </c>
      <c r="V112" t="str">
        <f t="shared" si="6"/>
        <v>În interval</v>
      </c>
      <c r="W112" t="str">
        <f t="shared" si="7"/>
        <v>În interval</v>
      </c>
    </row>
    <row r="113" spans="1:23">
      <c r="A113">
        <v>62</v>
      </c>
      <c r="B113">
        <v>41969.64</v>
      </c>
      <c r="C113" t="s">
        <v>349</v>
      </c>
      <c r="D113" t="str">
        <f t="shared" si="4"/>
        <v>În interval</v>
      </c>
      <c r="J113">
        <v>127</v>
      </c>
      <c r="K113">
        <v>3812.79</v>
      </c>
      <c r="L113" t="s">
        <v>358</v>
      </c>
      <c r="M113" t="str">
        <f t="shared" si="5"/>
        <v>În interval</v>
      </c>
      <c r="R113">
        <v>87</v>
      </c>
      <c r="S113">
        <v>127</v>
      </c>
      <c r="T113">
        <v>17440.47</v>
      </c>
      <c r="U113">
        <v>363.34</v>
      </c>
      <c r="V113" t="str">
        <f t="shared" si="6"/>
        <v>În interval</v>
      </c>
      <c r="W113" t="str">
        <f t="shared" si="7"/>
        <v>În interval</v>
      </c>
    </row>
    <row r="114" spans="1:23">
      <c r="A114">
        <v>63</v>
      </c>
      <c r="B114">
        <v>9200</v>
      </c>
      <c r="C114" t="s">
        <v>349</v>
      </c>
      <c r="D114" t="str">
        <f t="shared" si="4"/>
        <v>În interval</v>
      </c>
      <c r="J114">
        <v>128</v>
      </c>
      <c r="K114">
        <v>3546.47</v>
      </c>
      <c r="L114" t="s">
        <v>357</v>
      </c>
      <c r="M114" t="str">
        <f t="shared" si="5"/>
        <v>În interval</v>
      </c>
      <c r="R114">
        <v>88</v>
      </c>
      <c r="S114">
        <v>128</v>
      </c>
      <c r="T114">
        <v>5654.47</v>
      </c>
      <c r="U114">
        <v>157.07</v>
      </c>
      <c r="V114" t="str">
        <f t="shared" si="6"/>
        <v>În interval</v>
      </c>
      <c r="W114" t="str">
        <f t="shared" si="7"/>
        <v>În interval</v>
      </c>
    </row>
    <row r="115" spans="1:23">
      <c r="A115">
        <v>64</v>
      </c>
      <c r="B115">
        <v>24834.41</v>
      </c>
      <c r="C115" t="s">
        <v>349</v>
      </c>
      <c r="D115" t="str">
        <f t="shared" si="4"/>
        <v>În interval</v>
      </c>
      <c r="J115">
        <v>129</v>
      </c>
      <c r="K115">
        <v>3790.27</v>
      </c>
      <c r="L115" t="s">
        <v>357</v>
      </c>
      <c r="M115" t="str">
        <f t="shared" si="5"/>
        <v>În interval</v>
      </c>
      <c r="R115">
        <v>89</v>
      </c>
      <c r="S115">
        <v>129</v>
      </c>
      <c r="T115">
        <v>27181.52</v>
      </c>
      <c r="U115">
        <v>554.72</v>
      </c>
      <c r="V115" t="str">
        <f t="shared" si="6"/>
        <v>În interval</v>
      </c>
      <c r="W115" t="str">
        <f t="shared" si="7"/>
        <v>În interval</v>
      </c>
    </row>
    <row r="116" spans="1:23">
      <c r="A116">
        <v>64</v>
      </c>
      <c r="B116">
        <v>7140.64</v>
      </c>
      <c r="C116" t="s">
        <v>348</v>
      </c>
      <c r="D116" t="str">
        <f t="shared" si="4"/>
        <v>În interval</v>
      </c>
      <c r="J116">
        <v>130</v>
      </c>
      <c r="K116">
        <v>3399.12</v>
      </c>
      <c r="L116" t="s">
        <v>358</v>
      </c>
      <c r="M116" t="str">
        <f t="shared" si="5"/>
        <v>În interval</v>
      </c>
      <c r="R116">
        <v>89</v>
      </c>
      <c r="S116">
        <v>130</v>
      </c>
      <c r="T116">
        <v>25659.56</v>
      </c>
      <c r="U116">
        <v>1710.64</v>
      </c>
      <c r="V116" t="str">
        <f t="shared" si="6"/>
        <v>În interval</v>
      </c>
      <c r="W116" t="str">
        <f t="shared" si="7"/>
        <v>În interval</v>
      </c>
    </row>
    <row r="117" spans="1:23">
      <c r="A117">
        <v>65</v>
      </c>
      <c r="B117">
        <v>34800.410000000003</v>
      </c>
      <c r="C117" t="s">
        <v>349</v>
      </c>
      <c r="D117" t="str">
        <f t="shared" si="4"/>
        <v>În interval</v>
      </c>
      <c r="J117">
        <v>131</v>
      </c>
      <c r="K117">
        <v>1273.69</v>
      </c>
      <c r="L117" t="s">
        <v>358</v>
      </c>
      <c r="M117" t="str">
        <f t="shared" si="5"/>
        <v>În interval</v>
      </c>
      <c r="R117">
        <v>89</v>
      </c>
      <c r="S117">
        <v>131</v>
      </c>
      <c r="T117">
        <v>36905.01</v>
      </c>
      <c r="U117">
        <v>659.02</v>
      </c>
      <c r="V117" t="str">
        <f t="shared" si="6"/>
        <v>În interval</v>
      </c>
      <c r="W117" t="str">
        <f t="shared" si="7"/>
        <v>În interval</v>
      </c>
    </row>
    <row r="118" spans="1:23">
      <c r="A118">
        <v>66</v>
      </c>
      <c r="B118">
        <v>33570.879999999997</v>
      </c>
      <c r="C118" t="s">
        <v>349</v>
      </c>
      <c r="D118" t="str">
        <f t="shared" si="4"/>
        <v>În interval</v>
      </c>
      <c r="J118">
        <v>132</v>
      </c>
      <c r="K118">
        <v>3409.8</v>
      </c>
      <c r="L118" t="s">
        <v>356</v>
      </c>
      <c r="M118" t="str">
        <f t="shared" si="5"/>
        <v>În interval</v>
      </c>
      <c r="R118">
        <v>90</v>
      </c>
      <c r="S118">
        <v>132</v>
      </c>
      <c r="T118">
        <v>29280.03</v>
      </c>
      <c r="U118">
        <v>597.54999999999995</v>
      </c>
      <c r="V118" t="str">
        <f t="shared" si="6"/>
        <v>În interval</v>
      </c>
      <c r="W118" t="str">
        <f t="shared" si="7"/>
        <v>În interval</v>
      </c>
    </row>
    <row r="119" spans="1:23">
      <c r="A119">
        <v>66</v>
      </c>
      <c r="B119">
        <v>46344.4</v>
      </c>
      <c r="C119" t="s">
        <v>349</v>
      </c>
      <c r="D119" t="str">
        <f t="shared" si="4"/>
        <v>În interval</v>
      </c>
      <c r="J119">
        <v>133</v>
      </c>
      <c r="K119">
        <v>1765.47</v>
      </c>
      <c r="L119" t="s">
        <v>356</v>
      </c>
      <c r="M119" t="str">
        <f t="shared" si="5"/>
        <v>În interval</v>
      </c>
      <c r="R119">
        <v>91</v>
      </c>
      <c r="S119">
        <v>133</v>
      </c>
      <c r="T119">
        <v>21848.95</v>
      </c>
      <c r="U119">
        <v>485.53</v>
      </c>
      <c r="V119" t="str">
        <f t="shared" si="6"/>
        <v>În interval</v>
      </c>
      <c r="W119" t="str">
        <f t="shared" si="7"/>
        <v>În interval</v>
      </c>
    </row>
    <row r="120" spans="1:23">
      <c r="A120">
        <v>66</v>
      </c>
      <c r="B120">
        <v>27173.81</v>
      </c>
      <c r="C120" t="s">
        <v>349</v>
      </c>
      <c r="D120" t="str">
        <f t="shared" si="4"/>
        <v>În interval</v>
      </c>
      <c r="J120">
        <v>134</v>
      </c>
      <c r="K120">
        <v>3663.26</v>
      </c>
      <c r="L120" t="s">
        <v>357</v>
      </c>
      <c r="M120" t="str">
        <f t="shared" si="5"/>
        <v>În interval</v>
      </c>
      <c r="R120">
        <v>91</v>
      </c>
      <c r="S120">
        <v>134</v>
      </c>
      <c r="T120">
        <v>25671.21</v>
      </c>
      <c r="U120">
        <v>950.79</v>
      </c>
      <c r="V120" t="str">
        <f t="shared" si="6"/>
        <v>În interval</v>
      </c>
      <c r="W120" t="str">
        <f t="shared" si="7"/>
        <v>În interval</v>
      </c>
    </row>
    <row r="121" spans="1:23">
      <c r="A121">
        <v>67</v>
      </c>
      <c r="B121">
        <v>12560.71</v>
      </c>
      <c r="C121" t="s">
        <v>349</v>
      </c>
      <c r="D121" t="str">
        <f t="shared" si="4"/>
        <v>În interval</v>
      </c>
      <c r="J121">
        <v>135</v>
      </c>
      <c r="K121">
        <v>633.13</v>
      </c>
      <c r="L121" t="s">
        <v>357</v>
      </c>
      <c r="M121" t="str">
        <f t="shared" si="5"/>
        <v>În interval</v>
      </c>
      <c r="R121">
        <v>91</v>
      </c>
      <c r="S121">
        <v>135</v>
      </c>
      <c r="T121">
        <v>27834.5</v>
      </c>
      <c r="U121">
        <v>556.69000000000005</v>
      </c>
      <c r="V121" t="str">
        <f t="shared" si="6"/>
        <v>În interval</v>
      </c>
      <c r="W121" t="str">
        <f t="shared" si="7"/>
        <v>În interval</v>
      </c>
    </row>
    <row r="122" spans="1:23">
      <c r="A122">
        <v>67</v>
      </c>
      <c r="B122">
        <v>3571.66</v>
      </c>
      <c r="C122" t="s">
        <v>348</v>
      </c>
      <c r="D122" t="str">
        <f t="shared" si="4"/>
        <v>În interval</v>
      </c>
      <c r="J122">
        <v>136</v>
      </c>
      <c r="K122">
        <v>16.46</v>
      </c>
      <c r="L122" t="s">
        <v>358</v>
      </c>
      <c r="M122" t="str">
        <f t="shared" si="5"/>
        <v>În interval</v>
      </c>
      <c r="R122">
        <v>92</v>
      </c>
      <c r="S122">
        <v>136</v>
      </c>
      <c r="T122">
        <v>44692.11</v>
      </c>
      <c r="U122">
        <v>876.32</v>
      </c>
      <c r="V122" t="str">
        <f t="shared" si="6"/>
        <v>În interval</v>
      </c>
      <c r="W122" t="str">
        <f t="shared" si="7"/>
        <v>În interval</v>
      </c>
    </row>
    <row r="123" spans="1:23">
      <c r="A123">
        <v>68</v>
      </c>
      <c r="B123">
        <v>36088.339999999997</v>
      </c>
      <c r="C123" t="s">
        <v>348</v>
      </c>
      <c r="D123" t="str">
        <f t="shared" si="4"/>
        <v>În interval</v>
      </c>
      <c r="J123">
        <v>137</v>
      </c>
      <c r="K123">
        <v>65.349999999999994</v>
      </c>
      <c r="L123" t="s">
        <v>358</v>
      </c>
      <c r="M123" t="str">
        <f t="shared" si="5"/>
        <v>În interval</v>
      </c>
      <c r="R123">
        <v>92</v>
      </c>
      <c r="S123">
        <v>137</v>
      </c>
      <c r="T123">
        <v>10128.57</v>
      </c>
      <c r="U123">
        <v>177.69</v>
      </c>
      <c r="V123" t="str">
        <f t="shared" si="6"/>
        <v>În interval</v>
      </c>
      <c r="W123" t="str">
        <f t="shared" si="7"/>
        <v>În interval</v>
      </c>
    </row>
    <row r="124" spans="1:23">
      <c r="A124">
        <v>68</v>
      </c>
      <c r="B124">
        <v>12877.8</v>
      </c>
      <c r="C124" t="s">
        <v>349</v>
      </c>
      <c r="D124" t="str">
        <f t="shared" si="4"/>
        <v>În interval</v>
      </c>
      <c r="J124">
        <v>138</v>
      </c>
      <c r="K124">
        <v>2081.5700000000002</v>
      </c>
      <c r="L124" t="s">
        <v>357</v>
      </c>
      <c r="M124" t="str">
        <f t="shared" si="5"/>
        <v>În interval</v>
      </c>
      <c r="R124">
        <v>93</v>
      </c>
      <c r="S124">
        <v>138</v>
      </c>
      <c r="T124">
        <v>13606.48</v>
      </c>
      <c r="U124">
        <v>316.43</v>
      </c>
      <c r="V124" t="str">
        <f t="shared" si="6"/>
        <v>În interval</v>
      </c>
      <c r="W124" t="str">
        <f t="shared" si="7"/>
        <v>În interval</v>
      </c>
    </row>
    <row r="125" spans="1:23">
      <c r="A125">
        <v>68</v>
      </c>
      <c r="B125">
        <v>37540.46</v>
      </c>
      <c r="C125" t="s">
        <v>348</v>
      </c>
      <c r="D125" t="str">
        <f t="shared" si="4"/>
        <v>În interval</v>
      </c>
      <c r="J125">
        <v>139</v>
      </c>
      <c r="K125">
        <v>2381.63</v>
      </c>
      <c r="L125" t="s">
        <v>356</v>
      </c>
      <c r="M125" t="str">
        <f t="shared" si="5"/>
        <v>În interval</v>
      </c>
      <c r="R125">
        <v>94</v>
      </c>
      <c r="S125">
        <v>139</v>
      </c>
      <c r="T125">
        <v>35223.56</v>
      </c>
      <c r="U125">
        <v>1853.87</v>
      </c>
      <c r="V125" t="str">
        <f t="shared" si="6"/>
        <v>În interval</v>
      </c>
      <c r="W125" t="str">
        <f t="shared" si="7"/>
        <v>În interval</v>
      </c>
    </row>
    <row r="126" spans="1:23">
      <c r="A126">
        <v>69</v>
      </c>
      <c r="B126">
        <v>37439.21</v>
      </c>
      <c r="C126" t="s">
        <v>348</v>
      </c>
      <c r="D126" t="str">
        <f t="shared" si="4"/>
        <v>În interval</v>
      </c>
      <c r="J126">
        <v>140</v>
      </c>
      <c r="K126">
        <v>3047.22</v>
      </c>
      <c r="L126" t="s">
        <v>357</v>
      </c>
      <c r="M126" t="str">
        <f t="shared" si="5"/>
        <v>În interval</v>
      </c>
      <c r="R126">
        <v>94</v>
      </c>
      <c r="S126">
        <v>140</v>
      </c>
      <c r="T126">
        <v>49617.36</v>
      </c>
      <c r="U126">
        <v>1127.67</v>
      </c>
      <c r="V126" t="str">
        <f t="shared" si="6"/>
        <v>În interval</v>
      </c>
      <c r="W126" t="str">
        <f t="shared" si="7"/>
        <v>În interval</v>
      </c>
    </row>
    <row r="127" spans="1:23">
      <c r="A127">
        <v>69</v>
      </c>
      <c r="B127">
        <v>23375.97</v>
      </c>
      <c r="C127" t="s">
        <v>349</v>
      </c>
      <c r="D127" t="str">
        <f t="shared" si="4"/>
        <v>În interval</v>
      </c>
      <c r="J127">
        <v>141</v>
      </c>
      <c r="K127">
        <v>1277.92</v>
      </c>
      <c r="L127" t="s">
        <v>358</v>
      </c>
      <c r="M127" t="str">
        <f t="shared" si="5"/>
        <v>În interval</v>
      </c>
      <c r="R127">
        <v>95</v>
      </c>
      <c r="S127">
        <v>141</v>
      </c>
      <c r="T127">
        <v>26215.18</v>
      </c>
      <c r="U127">
        <v>557.77</v>
      </c>
      <c r="V127" t="str">
        <f t="shared" si="6"/>
        <v>În interval</v>
      </c>
      <c r="W127" t="str">
        <f t="shared" si="7"/>
        <v>În interval</v>
      </c>
    </row>
    <row r="128" spans="1:23">
      <c r="A128">
        <v>70</v>
      </c>
      <c r="B128">
        <v>48836.21</v>
      </c>
      <c r="C128" t="s">
        <v>348</v>
      </c>
      <c r="D128" t="str">
        <f t="shared" si="4"/>
        <v>În interval</v>
      </c>
      <c r="J128">
        <v>142</v>
      </c>
      <c r="K128">
        <v>2312.11</v>
      </c>
      <c r="L128" t="s">
        <v>358</v>
      </c>
      <c r="M128" t="str">
        <f t="shared" si="5"/>
        <v>În interval</v>
      </c>
      <c r="R128">
        <v>96</v>
      </c>
      <c r="S128">
        <v>142</v>
      </c>
      <c r="T128">
        <v>21600.26</v>
      </c>
      <c r="U128">
        <v>450.01</v>
      </c>
      <c r="V128" t="str">
        <f t="shared" si="6"/>
        <v>În interval</v>
      </c>
      <c r="W128" t="str">
        <f t="shared" si="7"/>
        <v>În interval</v>
      </c>
    </row>
    <row r="129" spans="1:23">
      <c r="A129">
        <v>70</v>
      </c>
      <c r="B129">
        <v>32509.31</v>
      </c>
      <c r="C129" t="s">
        <v>348</v>
      </c>
      <c r="D129" t="str">
        <f t="shared" si="4"/>
        <v>În interval</v>
      </c>
      <c r="J129">
        <v>143</v>
      </c>
      <c r="K129">
        <v>1784.27</v>
      </c>
      <c r="L129" t="s">
        <v>356</v>
      </c>
      <c r="M129" t="str">
        <f t="shared" si="5"/>
        <v>În interval</v>
      </c>
      <c r="R129">
        <v>96</v>
      </c>
      <c r="S129">
        <v>143</v>
      </c>
      <c r="T129">
        <v>33094.870000000003</v>
      </c>
      <c r="U129">
        <v>719.45</v>
      </c>
      <c r="V129" t="str">
        <f t="shared" si="6"/>
        <v>În interval</v>
      </c>
      <c r="W129" t="str">
        <f t="shared" si="7"/>
        <v>În interval</v>
      </c>
    </row>
    <row r="130" spans="1:23">
      <c r="A130">
        <v>71</v>
      </c>
      <c r="B130">
        <v>40173.129999999997</v>
      </c>
      <c r="C130" t="s">
        <v>349</v>
      </c>
      <c r="D130" t="str">
        <f t="shared" si="4"/>
        <v>În interval</v>
      </c>
      <c r="J130">
        <v>144</v>
      </c>
      <c r="K130">
        <v>3089.44</v>
      </c>
      <c r="L130" t="s">
        <v>356</v>
      </c>
      <c r="M130" t="str">
        <f t="shared" si="5"/>
        <v>În interval</v>
      </c>
      <c r="R130">
        <v>96</v>
      </c>
      <c r="S130">
        <v>144</v>
      </c>
      <c r="T130">
        <v>27933.4</v>
      </c>
      <c r="U130">
        <v>481.61</v>
      </c>
      <c r="V130" t="str">
        <f t="shared" si="6"/>
        <v>În interval</v>
      </c>
      <c r="W130" t="str">
        <f t="shared" si="7"/>
        <v>În interval</v>
      </c>
    </row>
    <row r="131" spans="1:23">
      <c r="A131">
        <v>71</v>
      </c>
      <c r="B131">
        <v>26682.53</v>
      </c>
      <c r="C131" t="s">
        <v>348</v>
      </c>
      <c r="D131" t="str">
        <f t="shared" ref="D131:D194" si="8">IF(OR(B131&lt;$F$9,B131&gt;$F$10),"Outlier","În interval")</f>
        <v>În interval</v>
      </c>
      <c r="J131">
        <v>145</v>
      </c>
      <c r="K131">
        <v>836.52</v>
      </c>
      <c r="L131" t="s">
        <v>358</v>
      </c>
      <c r="M131" t="str">
        <f t="shared" ref="M131:M194" si="9">IF(OR(K131&lt;$O$9,K131&gt;$O$10),"Outlier","În interval")</f>
        <v>În interval</v>
      </c>
      <c r="R131">
        <v>98</v>
      </c>
      <c r="S131">
        <v>145</v>
      </c>
      <c r="T131">
        <v>14843.79</v>
      </c>
      <c r="U131">
        <v>247.4</v>
      </c>
      <c r="V131" t="str">
        <f t="shared" ref="V131:V139" si="10">IF(OR(T131&lt;$Z$9,T131&gt;$Z$10),"Outlier","În interval")</f>
        <v>În interval</v>
      </c>
      <c r="W131" t="str">
        <f t="shared" ref="W131:W139" si="11">IF(OR(U131&lt;$Z$22,U131&gt;$Z$23),"Outlier","În interval")</f>
        <v>În interval</v>
      </c>
    </row>
    <row r="132" spans="1:23">
      <c r="A132">
        <v>71</v>
      </c>
      <c r="B132">
        <v>16156.01</v>
      </c>
      <c r="C132" t="s">
        <v>349</v>
      </c>
      <c r="D132" t="str">
        <f t="shared" si="8"/>
        <v>În interval</v>
      </c>
      <c r="J132">
        <v>146</v>
      </c>
      <c r="K132">
        <v>4659.29</v>
      </c>
      <c r="L132" t="s">
        <v>357</v>
      </c>
      <c r="M132" t="str">
        <f t="shared" si="9"/>
        <v>În interval</v>
      </c>
      <c r="R132">
        <v>98</v>
      </c>
      <c r="S132">
        <v>146</v>
      </c>
      <c r="T132">
        <v>10191.209999999999</v>
      </c>
      <c r="U132">
        <v>261.31</v>
      </c>
      <c r="V132" t="str">
        <f t="shared" si="10"/>
        <v>În interval</v>
      </c>
      <c r="W132" t="str">
        <f t="shared" si="11"/>
        <v>În interval</v>
      </c>
    </row>
    <row r="133" spans="1:23">
      <c r="A133">
        <v>72</v>
      </c>
      <c r="B133">
        <v>20877.14</v>
      </c>
      <c r="C133" t="s">
        <v>348</v>
      </c>
      <c r="D133" t="str">
        <f t="shared" si="8"/>
        <v>În interval</v>
      </c>
      <c r="J133">
        <v>147</v>
      </c>
      <c r="K133">
        <v>4904.59</v>
      </c>
      <c r="L133" t="s">
        <v>357</v>
      </c>
      <c r="M133" t="str">
        <f t="shared" si="9"/>
        <v>În interval</v>
      </c>
      <c r="R133">
        <v>98</v>
      </c>
      <c r="S133">
        <v>147</v>
      </c>
      <c r="T133">
        <v>49703.15</v>
      </c>
      <c r="U133">
        <v>4141.93</v>
      </c>
      <c r="V133" t="str">
        <f t="shared" si="10"/>
        <v>În interval</v>
      </c>
      <c r="W133" t="str">
        <f t="shared" si="11"/>
        <v>În interval</v>
      </c>
    </row>
    <row r="134" spans="1:23">
      <c r="A134">
        <v>72</v>
      </c>
      <c r="B134">
        <v>22949.41</v>
      </c>
      <c r="C134" t="s">
        <v>348</v>
      </c>
      <c r="D134" t="str">
        <f t="shared" si="8"/>
        <v>În interval</v>
      </c>
      <c r="J134">
        <v>148</v>
      </c>
      <c r="K134">
        <v>1778.59</v>
      </c>
      <c r="L134" t="s">
        <v>356</v>
      </c>
      <c r="M134" t="str">
        <f t="shared" si="9"/>
        <v>În interval</v>
      </c>
      <c r="R134">
        <v>99</v>
      </c>
      <c r="S134">
        <v>148</v>
      </c>
      <c r="T134">
        <v>33796.68</v>
      </c>
      <c r="U134">
        <v>1609.37</v>
      </c>
      <c r="V134" t="str">
        <f t="shared" si="10"/>
        <v>În interval</v>
      </c>
      <c r="W134" t="str">
        <f t="shared" si="11"/>
        <v>În interval</v>
      </c>
    </row>
    <row r="135" spans="1:23">
      <c r="A135">
        <v>72</v>
      </c>
      <c r="B135">
        <v>18562.18</v>
      </c>
      <c r="C135" t="s">
        <v>348</v>
      </c>
      <c r="D135" t="str">
        <f t="shared" si="8"/>
        <v>În interval</v>
      </c>
      <c r="J135">
        <v>149</v>
      </c>
      <c r="K135">
        <v>4753.6000000000004</v>
      </c>
      <c r="L135" t="s">
        <v>357</v>
      </c>
      <c r="M135" t="str">
        <f t="shared" si="9"/>
        <v>În interval</v>
      </c>
      <c r="R135">
        <v>99</v>
      </c>
      <c r="S135">
        <v>149</v>
      </c>
      <c r="T135">
        <v>28159.65</v>
      </c>
      <c r="U135">
        <v>563.19000000000005</v>
      </c>
      <c r="V135" t="str">
        <f t="shared" si="10"/>
        <v>În interval</v>
      </c>
      <c r="W135" t="str">
        <f t="shared" si="11"/>
        <v>În interval</v>
      </c>
    </row>
    <row r="136" spans="1:23">
      <c r="A136">
        <v>73</v>
      </c>
      <c r="B136">
        <v>45521.26</v>
      </c>
      <c r="C136" t="s">
        <v>349</v>
      </c>
      <c r="D136" t="str">
        <f t="shared" si="8"/>
        <v>În interval</v>
      </c>
      <c r="J136">
        <v>150</v>
      </c>
      <c r="K136">
        <v>1155.51</v>
      </c>
      <c r="L136" t="s">
        <v>357</v>
      </c>
      <c r="M136" t="str">
        <f t="shared" si="9"/>
        <v>În interval</v>
      </c>
      <c r="R136">
        <v>99</v>
      </c>
      <c r="S136">
        <v>150</v>
      </c>
      <c r="T136">
        <v>34881.33</v>
      </c>
      <c r="U136">
        <v>634.21</v>
      </c>
      <c r="V136" t="str">
        <f t="shared" si="10"/>
        <v>În interval</v>
      </c>
      <c r="W136" t="str">
        <f t="shared" si="11"/>
        <v>În interval</v>
      </c>
    </row>
    <row r="137" spans="1:23">
      <c r="A137">
        <v>73</v>
      </c>
      <c r="B137">
        <v>34852</v>
      </c>
      <c r="C137" t="s">
        <v>348</v>
      </c>
      <c r="D137" t="str">
        <f t="shared" si="8"/>
        <v>În interval</v>
      </c>
      <c r="J137">
        <v>151</v>
      </c>
      <c r="K137">
        <v>1134.8599999999999</v>
      </c>
      <c r="L137" t="s">
        <v>356</v>
      </c>
      <c r="M137" t="str">
        <f t="shared" si="9"/>
        <v>În interval</v>
      </c>
      <c r="R137">
        <v>100</v>
      </c>
      <c r="S137">
        <v>151</v>
      </c>
      <c r="T137">
        <v>48320.52</v>
      </c>
      <c r="U137">
        <v>3451.47</v>
      </c>
      <c r="V137" t="str">
        <f t="shared" si="10"/>
        <v>În interval</v>
      </c>
      <c r="W137" t="str">
        <f t="shared" si="11"/>
        <v>În interval</v>
      </c>
    </row>
    <row r="138" spans="1:23">
      <c r="A138">
        <v>74</v>
      </c>
      <c r="B138">
        <v>34122.61</v>
      </c>
      <c r="C138" t="s">
        <v>348</v>
      </c>
      <c r="D138" t="str">
        <f t="shared" si="8"/>
        <v>În interval</v>
      </c>
      <c r="J138">
        <v>152</v>
      </c>
      <c r="K138">
        <v>1076.01</v>
      </c>
      <c r="L138" t="s">
        <v>356</v>
      </c>
      <c r="M138" t="str">
        <f t="shared" si="9"/>
        <v>În interval</v>
      </c>
      <c r="R138">
        <v>100</v>
      </c>
      <c r="S138">
        <v>152</v>
      </c>
      <c r="T138">
        <v>26365.86</v>
      </c>
      <c r="U138">
        <v>454.58</v>
      </c>
      <c r="V138" t="str">
        <f t="shared" si="10"/>
        <v>În interval</v>
      </c>
      <c r="W138" t="str">
        <f t="shared" si="11"/>
        <v>În interval</v>
      </c>
    </row>
    <row r="139" spans="1:23">
      <c r="A139">
        <v>74</v>
      </c>
      <c r="B139">
        <v>28930.59</v>
      </c>
      <c r="C139" t="s">
        <v>349</v>
      </c>
      <c r="D139" t="str">
        <f t="shared" si="8"/>
        <v>În interval</v>
      </c>
      <c r="J139">
        <v>153</v>
      </c>
      <c r="K139">
        <v>4894.24</v>
      </c>
      <c r="L139" t="s">
        <v>358</v>
      </c>
      <c r="M139" t="str">
        <f t="shared" si="9"/>
        <v>În interval</v>
      </c>
      <c r="R139">
        <v>100</v>
      </c>
      <c r="S139">
        <v>153</v>
      </c>
      <c r="T139">
        <v>39108.300000000003</v>
      </c>
      <c r="U139">
        <v>2607.2199999999998</v>
      </c>
      <c r="V139" t="str">
        <f t="shared" si="10"/>
        <v>În interval</v>
      </c>
      <c r="W139" t="str">
        <f t="shared" si="11"/>
        <v>În interval</v>
      </c>
    </row>
    <row r="140" spans="1:23">
      <c r="A140">
        <v>74</v>
      </c>
      <c r="B140">
        <v>5792.02</v>
      </c>
      <c r="C140" t="s">
        <v>348</v>
      </c>
      <c r="D140" t="str">
        <f t="shared" si="8"/>
        <v>În interval</v>
      </c>
      <c r="J140">
        <v>154</v>
      </c>
      <c r="K140">
        <v>1327.68</v>
      </c>
      <c r="L140" t="s">
        <v>356</v>
      </c>
      <c r="M140" t="str">
        <f t="shared" si="9"/>
        <v>În interval</v>
      </c>
    </row>
    <row r="141" spans="1:23">
      <c r="A141">
        <v>75</v>
      </c>
      <c r="B141">
        <v>24302.57</v>
      </c>
      <c r="C141" t="s">
        <v>348</v>
      </c>
      <c r="D141" t="str">
        <f t="shared" si="8"/>
        <v>În interval</v>
      </c>
      <c r="J141">
        <v>155</v>
      </c>
      <c r="K141">
        <v>2555.85</v>
      </c>
      <c r="L141" t="s">
        <v>358</v>
      </c>
      <c r="M141" t="str">
        <f t="shared" si="9"/>
        <v>În interval</v>
      </c>
    </row>
    <row r="142" spans="1:23">
      <c r="A142">
        <v>76</v>
      </c>
      <c r="B142">
        <v>10214.02</v>
      </c>
      <c r="C142" t="s">
        <v>349</v>
      </c>
      <c r="D142" t="str">
        <f t="shared" si="8"/>
        <v>În interval</v>
      </c>
      <c r="J142">
        <v>156</v>
      </c>
      <c r="K142">
        <v>2732.29</v>
      </c>
      <c r="L142" t="s">
        <v>358</v>
      </c>
      <c r="M142" t="str">
        <f t="shared" si="9"/>
        <v>În interval</v>
      </c>
    </row>
    <row r="143" spans="1:23">
      <c r="A143">
        <v>77</v>
      </c>
      <c r="B143">
        <v>43186.78</v>
      </c>
      <c r="C143" t="s">
        <v>349</v>
      </c>
      <c r="D143" t="str">
        <f t="shared" si="8"/>
        <v>În interval</v>
      </c>
      <c r="J143">
        <v>157</v>
      </c>
      <c r="K143">
        <v>791.18</v>
      </c>
      <c r="L143" t="s">
        <v>358</v>
      </c>
      <c r="M143" t="str">
        <f t="shared" si="9"/>
        <v>În interval</v>
      </c>
    </row>
    <row r="144" spans="1:23">
      <c r="A144">
        <v>77</v>
      </c>
      <c r="B144">
        <v>48451.8</v>
      </c>
      <c r="C144" t="s">
        <v>348</v>
      </c>
      <c r="D144" t="str">
        <f t="shared" si="8"/>
        <v>În interval</v>
      </c>
      <c r="J144">
        <v>158</v>
      </c>
      <c r="K144">
        <v>1139.3900000000001</v>
      </c>
      <c r="L144" t="s">
        <v>358</v>
      </c>
      <c r="M144" t="str">
        <f t="shared" si="9"/>
        <v>În interval</v>
      </c>
    </row>
    <row r="145" spans="1:13">
      <c r="A145">
        <v>77</v>
      </c>
      <c r="B145">
        <v>32974.839999999997</v>
      </c>
      <c r="C145" t="s">
        <v>348</v>
      </c>
      <c r="D145" t="str">
        <f t="shared" si="8"/>
        <v>În interval</v>
      </c>
      <c r="J145">
        <v>159</v>
      </c>
      <c r="K145">
        <v>1833</v>
      </c>
      <c r="L145" t="s">
        <v>356</v>
      </c>
      <c r="M145" t="str">
        <f t="shared" si="9"/>
        <v>În interval</v>
      </c>
    </row>
    <row r="146" spans="1:13">
      <c r="A146">
        <v>78</v>
      </c>
      <c r="B146">
        <v>42654.53</v>
      </c>
      <c r="C146" t="s">
        <v>349</v>
      </c>
      <c r="D146" t="str">
        <f t="shared" si="8"/>
        <v>În interval</v>
      </c>
      <c r="J146">
        <v>160</v>
      </c>
      <c r="K146">
        <v>1899.74</v>
      </c>
      <c r="L146" t="s">
        <v>358</v>
      </c>
      <c r="M146" t="str">
        <f t="shared" si="9"/>
        <v>În interval</v>
      </c>
    </row>
    <row r="147" spans="1:13">
      <c r="A147">
        <v>78</v>
      </c>
      <c r="B147">
        <v>769.28</v>
      </c>
      <c r="C147" t="s">
        <v>348</v>
      </c>
      <c r="D147" t="str">
        <f t="shared" si="8"/>
        <v>În interval</v>
      </c>
      <c r="J147">
        <v>161</v>
      </c>
      <c r="K147">
        <v>1038.6099999999999</v>
      </c>
      <c r="L147" t="s">
        <v>357</v>
      </c>
      <c r="M147" t="str">
        <f t="shared" si="9"/>
        <v>În interval</v>
      </c>
    </row>
    <row r="148" spans="1:13">
      <c r="A148">
        <v>79</v>
      </c>
      <c r="B148">
        <v>20875.919999999998</v>
      </c>
      <c r="C148" t="s">
        <v>348</v>
      </c>
      <c r="D148" t="str">
        <f t="shared" si="8"/>
        <v>În interval</v>
      </c>
      <c r="J148">
        <v>162</v>
      </c>
      <c r="K148">
        <v>2489.79</v>
      </c>
      <c r="L148" t="s">
        <v>356</v>
      </c>
      <c r="M148" t="str">
        <f t="shared" si="9"/>
        <v>În interval</v>
      </c>
    </row>
    <row r="149" spans="1:13">
      <c r="A149">
        <v>79</v>
      </c>
      <c r="B149">
        <v>46849.79</v>
      </c>
      <c r="C149" t="s">
        <v>349</v>
      </c>
      <c r="D149" t="str">
        <f t="shared" si="8"/>
        <v>În interval</v>
      </c>
      <c r="J149">
        <v>163</v>
      </c>
      <c r="K149">
        <v>1938.15</v>
      </c>
      <c r="L149" t="s">
        <v>357</v>
      </c>
      <c r="M149" t="str">
        <f t="shared" si="9"/>
        <v>În interval</v>
      </c>
    </row>
    <row r="150" spans="1:13">
      <c r="A150">
        <v>79</v>
      </c>
      <c r="B150">
        <v>21862.1</v>
      </c>
      <c r="C150" t="s">
        <v>349</v>
      </c>
      <c r="D150" t="str">
        <f t="shared" si="8"/>
        <v>În interval</v>
      </c>
      <c r="J150">
        <v>164</v>
      </c>
      <c r="K150">
        <v>23.75</v>
      </c>
      <c r="L150" t="s">
        <v>356</v>
      </c>
      <c r="M150" t="str">
        <f t="shared" si="9"/>
        <v>În interval</v>
      </c>
    </row>
    <row r="151" spans="1:13">
      <c r="A151">
        <v>80</v>
      </c>
      <c r="B151">
        <v>47742.080000000002</v>
      </c>
      <c r="C151" t="s">
        <v>349</v>
      </c>
      <c r="D151" t="str">
        <f t="shared" si="8"/>
        <v>În interval</v>
      </c>
      <c r="J151">
        <v>165</v>
      </c>
      <c r="K151">
        <v>4490.6000000000004</v>
      </c>
      <c r="L151" t="s">
        <v>358</v>
      </c>
      <c r="M151" t="str">
        <f t="shared" si="9"/>
        <v>În interval</v>
      </c>
    </row>
    <row r="152" spans="1:13">
      <c r="A152">
        <v>80</v>
      </c>
      <c r="B152">
        <v>17884.830000000002</v>
      </c>
      <c r="C152" t="s">
        <v>349</v>
      </c>
      <c r="D152" t="str">
        <f t="shared" si="8"/>
        <v>În interval</v>
      </c>
      <c r="J152">
        <v>166</v>
      </c>
      <c r="K152">
        <v>3695.2</v>
      </c>
      <c r="L152" t="s">
        <v>357</v>
      </c>
      <c r="M152" t="str">
        <f t="shared" si="9"/>
        <v>În interval</v>
      </c>
    </row>
    <row r="153" spans="1:13">
      <c r="A153">
        <v>81</v>
      </c>
      <c r="B153">
        <v>32545.360000000001</v>
      </c>
      <c r="C153" t="s">
        <v>348</v>
      </c>
      <c r="D153" t="str">
        <f t="shared" si="8"/>
        <v>În interval</v>
      </c>
      <c r="J153">
        <v>167</v>
      </c>
      <c r="K153">
        <v>1912.12</v>
      </c>
      <c r="L153" t="s">
        <v>358</v>
      </c>
      <c r="M153" t="str">
        <f t="shared" si="9"/>
        <v>În interval</v>
      </c>
    </row>
    <row r="154" spans="1:13">
      <c r="A154">
        <v>82</v>
      </c>
      <c r="B154">
        <v>19403.560000000001</v>
      </c>
      <c r="C154" t="s">
        <v>348</v>
      </c>
      <c r="D154" t="str">
        <f t="shared" si="8"/>
        <v>În interval</v>
      </c>
      <c r="J154">
        <v>168</v>
      </c>
      <c r="K154">
        <v>304.82</v>
      </c>
      <c r="L154" t="s">
        <v>357</v>
      </c>
      <c r="M154" t="str">
        <f t="shared" si="9"/>
        <v>În interval</v>
      </c>
    </row>
    <row r="155" spans="1:13">
      <c r="A155">
        <v>82</v>
      </c>
      <c r="B155">
        <v>47835.95</v>
      </c>
      <c r="C155" t="s">
        <v>348</v>
      </c>
      <c r="D155" t="str">
        <f t="shared" si="8"/>
        <v>În interval</v>
      </c>
      <c r="J155">
        <v>169</v>
      </c>
      <c r="K155">
        <v>2917.89</v>
      </c>
      <c r="L155" t="s">
        <v>357</v>
      </c>
      <c r="M155" t="str">
        <f t="shared" si="9"/>
        <v>În interval</v>
      </c>
    </row>
    <row r="156" spans="1:13">
      <c r="A156">
        <v>82</v>
      </c>
      <c r="B156">
        <v>12326.19</v>
      </c>
      <c r="C156" t="s">
        <v>349</v>
      </c>
      <c r="D156" t="str">
        <f t="shared" si="8"/>
        <v>În interval</v>
      </c>
      <c r="J156">
        <v>170</v>
      </c>
      <c r="K156">
        <v>4270.29</v>
      </c>
      <c r="L156" t="s">
        <v>358</v>
      </c>
      <c r="M156" t="str">
        <f t="shared" si="9"/>
        <v>În interval</v>
      </c>
    </row>
    <row r="157" spans="1:13">
      <c r="A157">
        <v>83</v>
      </c>
      <c r="B157">
        <v>16824.509999999998</v>
      </c>
      <c r="C157" t="s">
        <v>349</v>
      </c>
      <c r="D157" t="str">
        <f t="shared" si="8"/>
        <v>În interval</v>
      </c>
      <c r="J157">
        <v>171</v>
      </c>
      <c r="K157">
        <v>825.52</v>
      </c>
      <c r="L157" t="s">
        <v>357</v>
      </c>
      <c r="M157" t="str">
        <f t="shared" si="9"/>
        <v>În interval</v>
      </c>
    </row>
    <row r="158" spans="1:13">
      <c r="A158">
        <v>83</v>
      </c>
      <c r="B158">
        <v>28920.17</v>
      </c>
      <c r="C158" t="s">
        <v>348</v>
      </c>
      <c r="D158" t="str">
        <f t="shared" si="8"/>
        <v>În interval</v>
      </c>
      <c r="J158">
        <v>172</v>
      </c>
      <c r="K158">
        <v>4189.45</v>
      </c>
      <c r="L158" t="s">
        <v>356</v>
      </c>
      <c r="M158" t="str">
        <f t="shared" si="9"/>
        <v>În interval</v>
      </c>
    </row>
    <row r="159" spans="1:13">
      <c r="A159">
        <v>83</v>
      </c>
      <c r="B159">
        <v>30577.71</v>
      </c>
      <c r="C159" t="s">
        <v>349</v>
      </c>
      <c r="D159" t="str">
        <f t="shared" si="8"/>
        <v>În interval</v>
      </c>
      <c r="J159">
        <v>173</v>
      </c>
      <c r="K159">
        <v>3440.84</v>
      </c>
      <c r="L159" t="s">
        <v>357</v>
      </c>
      <c r="M159" t="str">
        <f t="shared" si="9"/>
        <v>În interval</v>
      </c>
    </row>
    <row r="160" spans="1:13">
      <c r="A160">
        <v>84</v>
      </c>
      <c r="B160">
        <v>17314.52</v>
      </c>
      <c r="C160" t="s">
        <v>348</v>
      </c>
      <c r="D160" t="str">
        <f t="shared" si="8"/>
        <v>În interval</v>
      </c>
      <c r="J160">
        <v>174</v>
      </c>
      <c r="K160">
        <v>226.48</v>
      </c>
      <c r="L160" t="s">
        <v>357</v>
      </c>
      <c r="M160" t="str">
        <f t="shared" si="9"/>
        <v>În interval</v>
      </c>
    </row>
    <row r="161" spans="1:13">
      <c r="A161">
        <v>84</v>
      </c>
      <c r="B161">
        <v>27201.68</v>
      </c>
      <c r="C161" t="s">
        <v>349</v>
      </c>
      <c r="D161" t="str">
        <f t="shared" si="8"/>
        <v>În interval</v>
      </c>
      <c r="J161">
        <v>175</v>
      </c>
      <c r="K161">
        <v>3509.87</v>
      </c>
      <c r="L161" t="s">
        <v>358</v>
      </c>
      <c r="M161" t="str">
        <f t="shared" si="9"/>
        <v>În interval</v>
      </c>
    </row>
    <row r="162" spans="1:13">
      <c r="A162">
        <v>84</v>
      </c>
      <c r="B162">
        <v>29374.92</v>
      </c>
      <c r="C162" t="s">
        <v>349</v>
      </c>
      <c r="D162" t="str">
        <f t="shared" si="8"/>
        <v>În interval</v>
      </c>
      <c r="J162">
        <v>176</v>
      </c>
      <c r="K162">
        <v>1458.73</v>
      </c>
      <c r="L162" t="s">
        <v>357</v>
      </c>
      <c r="M162" t="str">
        <f t="shared" si="9"/>
        <v>În interval</v>
      </c>
    </row>
    <row r="163" spans="1:13">
      <c r="A163">
        <v>85</v>
      </c>
      <c r="B163">
        <v>2583.3000000000002</v>
      </c>
      <c r="C163" t="s">
        <v>349</v>
      </c>
      <c r="D163" t="str">
        <f t="shared" si="8"/>
        <v>În interval</v>
      </c>
      <c r="J163">
        <v>177</v>
      </c>
      <c r="K163">
        <v>2147.87</v>
      </c>
      <c r="L163" t="s">
        <v>358</v>
      </c>
      <c r="M163" t="str">
        <f t="shared" si="9"/>
        <v>În interval</v>
      </c>
    </row>
    <row r="164" spans="1:13">
      <c r="A164">
        <v>85</v>
      </c>
      <c r="B164">
        <v>15160.44</v>
      </c>
      <c r="C164" t="s">
        <v>348</v>
      </c>
      <c r="D164" t="str">
        <f t="shared" si="8"/>
        <v>În interval</v>
      </c>
      <c r="J164">
        <v>178</v>
      </c>
      <c r="K164">
        <v>1153.03</v>
      </c>
      <c r="L164" t="s">
        <v>357</v>
      </c>
      <c r="M164" t="str">
        <f t="shared" si="9"/>
        <v>În interval</v>
      </c>
    </row>
    <row r="165" spans="1:13">
      <c r="A165">
        <v>86</v>
      </c>
      <c r="B165">
        <v>45950.36</v>
      </c>
      <c r="C165" t="s">
        <v>349</v>
      </c>
      <c r="D165" t="str">
        <f t="shared" si="8"/>
        <v>În interval</v>
      </c>
      <c r="J165">
        <v>179</v>
      </c>
      <c r="K165">
        <v>3214.45</v>
      </c>
      <c r="L165" t="s">
        <v>356</v>
      </c>
      <c r="M165" t="str">
        <f t="shared" si="9"/>
        <v>În interval</v>
      </c>
    </row>
    <row r="166" spans="1:13">
      <c r="A166">
        <v>86</v>
      </c>
      <c r="B166">
        <v>14516.85</v>
      </c>
      <c r="C166" t="s">
        <v>348</v>
      </c>
      <c r="D166" t="str">
        <f t="shared" si="8"/>
        <v>În interval</v>
      </c>
      <c r="J166">
        <v>180</v>
      </c>
      <c r="K166">
        <v>4771.49</v>
      </c>
      <c r="L166" t="s">
        <v>358</v>
      </c>
      <c r="M166" t="str">
        <f t="shared" si="9"/>
        <v>În interval</v>
      </c>
    </row>
    <row r="167" spans="1:13">
      <c r="A167">
        <v>86</v>
      </c>
      <c r="B167">
        <v>45598.92</v>
      </c>
      <c r="C167" t="s">
        <v>349</v>
      </c>
      <c r="D167" t="str">
        <f t="shared" si="8"/>
        <v>În interval</v>
      </c>
      <c r="J167">
        <v>181</v>
      </c>
      <c r="K167">
        <v>813.95</v>
      </c>
      <c r="L167" t="s">
        <v>357</v>
      </c>
      <c r="M167" t="str">
        <f t="shared" si="9"/>
        <v>În interval</v>
      </c>
    </row>
    <row r="168" spans="1:13">
      <c r="A168">
        <v>87</v>
      </c>
      <c r="B168">
        <v>3943.29</v>
      </c>
      <c r="C168" t="s">
        <v>348</v>
      </c>
      <c r="D168" t="str">
        <f t="shared" si="8"/>
        <v>În interval</v>
      </c>
      <c r="J168">
        <v>182</v>
      </c>
      <c r="K168">
        <v>824.53</v>
      </c>
      <c r="L168" t="s">
        <v>356</v>
      </c>
      <c r="M168" t="str">
        <f t="shared" si="9"/>
        <v>În interval</v>
      </c>
    </row>
    <row r="169" spans="1:13">
      <c r="A169">
        <v>87</v>
      </c>
      <c r="B169">
        <v>41017.629999999997</v>
      </c>
      <c r="C169" t="s">
        <v>348</v>
      </c>
      <c r="D169" t="str">
        <f t="shared" si="8"/>
        <v>În interval</v>
      </c>
      <c r="J169">
        <v>183</v>
      </c>
      <c r="K169">
        <v>1828.78</v>
      </c>
      <c r="L169" t="s">
        <v>357</v>
      </c>
      <c r="M169" t="str">
        <f t="shared" si="9"/>
        <v>În interval</v>
      </c>
    </row>
    <row r="170" spans="1:13">
      <c r="A170">
        <v>87</v>
      </c>
      <c r="B170">
        <v>8388.44</v>
      </c>
      <c r="C170" t="s">
        <v>348</v>
      </c>
      <c r="D170" t="str">
        <f t="shared" si="8"/>
        <v>În interval</v>
      </c>
      <c r="J170">
        <v>184</v>
      </c>
      <c r="K170">
        <v>332.54</v>
      </c>
      <c r="L170" t="s">
        <v>357</v>
      </c>
      <c r="M170" t="str">
        <f t="shared" si="9"/>
        <v>În interval</v>
      </c>
    </row>
    <row r="171" spans="1:13">
      <c r="A171">
        <v>88</v>
      </c>
      <c r="B171">
        <v>19528.61</v>
      </c>
      <c r="C171" t="s">
        <v>348</v>
      </c>
      <c r="D171" t="str">
        <f t="shared" si="8"/>
        <v>În interval</v>
      </c>
      <c r="J171">
        <v>185</v>
      </c>
      <c r="K171">
        <v>4987.9399999999996</v>
      </c>
      <c r="L171" t="s">
        <v>358</v>
      </c>
      <c r="M171" t="str">
        <f t="shared" si="9"/>
        <v>În interval</v>
      </c>
    </row>
    <row r="172" spans="1:13">
      <c r="A172">
        <v>89</v>
      </c>
      <c r="B172">
        <v>41911.410000000003</v>
      </c>
      <c r="C172" t="s">
        <v>349</v>
      </c>
      <c r="D172" t="str">
        <f t="shared" si="8"/>
        <v>În interval</v>
      </c>
      <c r="J172">
        <v>186</v>
      </c>
      <c r="K172">
        <v>2401.29</v>
      </c>
      <c r="L172" t="s">
        <v>358</v>
      </c>
      <c r="M172" t="str">
        <f t="shared" si="9"/>
        <v>În interval</v>
      </c>
    </row>
    <row r="173" spans="1:13">
      <c r="A173">
        <v>89</v>
      </c>
      <c r="B173">
        <v>12569.91</v>
      </c>
      <c r="C173" t="s">
        <v>348</v>
      </c>
      <c r="D173" t="str">
        <f t="shared" si="8"/>
        <v>În interval</v>
      </c>
      <c r="J173">
        <v>187</v>
      </c>
      <c r="K173">
        <v>793.02</v>
      </c>
      <c r="L173" t="s">
        <v>357</v>
      </c>
      <c r="M173" t="str">
        <f t="shared" si="9"/>
        <v>În interval</v>
      </c>
    </row>
    <row r="174" spans="1:13">
      <c r="A174">
        <v>89</v>
      </c>
      <c r="B174">
        <v>24024.01</v>
      </c>
      <c r="C174" t="s">
        <v>348</v>
      </c>
      <c r="D174" t="str">
        <f t="shared" si="8"/>
        <v>În interval</v>
      </c>
      <c r="J174">
        <v>188</v>
      </c>
      <c r="K174">
        <v>2593.06</v>
      </c>
      <c r="L174" t="s">
        <v>356</v>
      </c>
      <c r="M174" t="str">
        <f t="shared" si="9"/>
        <v>În interval</v>
      </c>
    </row>
    <row r="175" spans="1:13">
      <c r="A175">
        <v>90</v>
      </c>
      <c r="B175">
        <v>27465.42</v>
      </c>
      <c r="C175" t="s">
        <v>348</v>
      </c>
      <c r="D175" t="str">
        <f t="shared" si="8"/>
        <v>În interval</v>
      </c>
      <c r="J175">
        <v>189</v>
      </c>
      <c r="K175">
        <v>4206.68</v>
      </c>
      <c r="L175" t="s">
        <v>356</v>
      </c>
      <c r="M175" t="str">
        <f t="shared" si="9"/>
        <v>În interval</v>
      </c>
    </row>
    <row r="176" spans="1:13">
      <c r="A176">
        <v>90</v>
      </c>
      <c r="B176">
        <v>47803.1</v>
      </c>
      <c r="C176" t="s">
        <v>349</v>
      </c>
      <c r="D176" t="str">
        <f t="shared" si="8"/>
        <v>În interval</v>
      </c>
      <c r="J176">
        <v>190</v>
      </c>
      <c r="K176">
        <v>1674.79</v>
      </c>
      <c r="L176" t="s">
        <v>357</v>
      </c>
      <c r="M176" t="str">
        <f t="shared" si="9"/>
        <v>În interval</v>
      </c>
    </row>
    <row r="177" spans="1:13">
      <c r="A177">
        <v>90</v>
      </c>
      <c r="B177">
        <v>32487.24</v>
      </c>
      <c r="C177" t="s">
        <v>349</v>
      </c>
      <c r="D177" t="str">
        <f t="shared" si="8"/>
        <v>În interval</v>
      </c>
      <c r="J177">
        <v>191</v>
      </c>
      <c r="K177">
        <v>2047.06</v>
      </c>
      <c r="L177" t="s">
        <v>357</v>
      </c>
      <c r="M177" t="str">
        <f t="shared" si="9"/>
        <v>În interval</v>
      </c>
    </row>
    <row r="178" spans="1:13">
      <c r="A178">
        <v>91</v>
      </c>
      <c r="B178">
        <v>4789.97</v>
      </c>
      <c r="C178" t="s">
        <v>348</v>
      </c>
      <c r="D178" t="str">
        <f t="shared" si="8"/>
        <v>În interval</v>
      </c>
      <c r="J178">
        <v>192</v>
      </c>
      <c r="K178">
        <v>3853.02</v>
      </c>
      <c r="L178" t="s">
        <v>357</v>
      </c>
      <c r="M178" t="str">
        <f t="shared" si="9"/>
        <v>În interval</v>
      </c>
    </row>
    <row r="179" spans="1:13">
      <c r="A179">
        <v>91</v>
      </c>
      <c r="B179">
        <v>374.95</v>
      </c>
      <c r="C179" t="s">
        <v>348</v>
      </c>
      <c r="D179" t="str">
        <f t="shared" si="8"/>
        <v>În interval</v>
      </c>
      <c r="J179">
        <v>193</v>
      </c>
      <c r="K179">
        <v>3383.99</v>
      </c>
      <c r="L179" t="s">
        <v>357</v>
      </c>
      <c r="M179" t="str">
        <f t="shared" si="9"/>
        <v>În interval</v>
      </c>
    </row>
    <row r="180" spans="1:13">
      <c r="A180">
        <v>91</v>
      </c>
      <c r="B180">
        <v>40493.22</v>
      </c>
      <c r="C180" t="s">
        <v>348</v>
      </c>
      <c r="D180" t="str">
        <f t="shared" si="8"/>
        <v>În interval</v>
      </c>
      <c r="J180">
        <v>194</v>
      </c>
      <c r="K180">
        <v>3690.25</v>
      </c>
      <c r="L180" t="s">
        <v>357</v>
      </c>
      <c r="M180" t="str">
        <f t="shared" si="9"/>
        <v>În interval</v>
      </c>
    </row>
    <row r="181" spans="1:13">
      <c r="A181">
        <v>92</v>
      </c>
      <c r="B181">
        <v>28068.04</v>
      </c>
      <c r="C181" t="s">
        <v>348</v>
      </c>
      <c r="D181" t="str">
        <f t="shared" si="8"/>
        <v>În interval</v>
      </c>
      <c r="J181">
        <v>195</v>
      </c>
      <c r="K181">
        <v>2243.5100000000002</v>
      </c>
      <c r="L181" t="s">
        <v>357</v>
      </c>
      <c r="M181" t="str">
        <f t="shared" si="9"/>
        <v>În interval</v>
      </c>
    </row>
    <row r="182" spans="1:13">
      <c r="A182">
        <v>92</v>
      </c>
      <c r="B182">
        <v>994.64</v>
      </c>
      <c r="C182" t="s">
        <v>348</v>
      </c>
      <c r="D182" t="str">
        <f t="shared" si="8"/>
        <v>În interval</v>
      </c>
      <c r="J182">
        <v>196</v>
      </c>
      <c r="K182">
        <v>1006.22</v>
      </c>
      <c r="L182" t="s">
        <v>357</v>
      </c>
      <c r="M182" t="str">
        <f t="shared" si="9"/>
        <v>În interval</v>
      </c>
    </row>
    <row r="183" spans="1:13">
      <c r="A183">
        <v>92</v>
      </c>
      <c r="B183">
        <v>22887.39</v>
      </c>
      <c r="C183" t="s">
        <v>348</v>
      </c>
      <c r="D183" t="str">
        <f t="shared" si="8"/>
        <v>În interval</v>
      </c>
      <c r="J183">
        <v>197</v>
      </c>
      <c r="K183">
        <v>3525.84</v>
      </c>
      <c r="L183" t="s">
        <v>357</v>
      </c>
      <c r="M183" t="str">
        <f t="shared" si="9"/>
        <v>În interval</v>
      </c>
    </row>
    <row r="184" spans="1:13">
      <c r="A184">
        <v>93</v>
      </c>
      <c r="B184">
        <v>463.91</v>
      </c>
      <c r="C184" t="s">
        <v>349</v>
      </c>
      <c r="D184" t="str">
        <f t="shared" si="8"/>
        <v>În interval</v>
      </c>
      <c r="J184">
        <v>198</v>
      </c>
      <c r="K184">
        <v>449.77</v>
      </c>
      <c r="L184" t="s">
        <v>357</v>
      </c>
      <c r="M184" t="str">
        <f t="shared" si="9"/>
        <v>În interval</v>
      </c>
    </row>
    <row r="185" spans="1:13">
      <c r="A185">
        <v>94</v>
      </c>
      <c r="B185">
        <v>41332.050000000003</v>
      </c>
      <c r="C185" t="s">
        <v>348</v>
      </c>
      <c r="D185" t="str">
        <f t="shared" si="8"/>
        <v>În interval</v>
      </c>
      <c r="J185">
        <v>199</v>
      </c>
      <c r="K185">
        <v>4987.71</v>
      </c>
      <c r="L185" t="s">
        <v>358</v>
      </c>
      <c r="M185" t="str">
        <f t="shared" si="9"/>
        <v>În interval</v>
      </c>
    </row>
    <row r="186" spans="1:13">
      <c r="A186">
        <v>95</v>
      </c>
      <c r="B186">
        <v>38217.49</v>
      </c>
      <c r="C186" t="s">
        <v>348</v>
      </c>
      <c r="D186" t="str">
        <f t="shared" si="8"/>
        <v>În interval</v>
      </c>
      <c r="J186">
        <v>200</v>
      </c>
      <c r="K186">
        <v>1476.22</v>
      </c>
      <c r="L186" t="s">
        <v>356</v>
      </c>
      <c r="M186" t="str">
        <f t="shared" si="9"/>
        <v>În interval</v>
      </c>
    </row>
    <row r="187" spans="1:13">
      <c r="A187">
        <v>95</v>
      </c>
      <c r="B187">
        <v>9387.2999999999993</v>
      </c>
      <c r="C187" t="s">
        <v>348</v>
      </c>
      <c r="D187" t="str">
        <f t="shared" si="8"/>
        <v>În interval</v>
      </c>
      <c r="J187">
        <v>201</v>
      </c>
      <c r="K187">
        <v>4264.3100000000004</v>
      </c>
      <c r="L187" t="s">
        <v>358</v>
      </c>
      <c r="M187" t="str">
        <f t="shared" si="9"/>
        <v>În interval</v>
      </c>
    </row>
    <row r="188" spans="1:13">
      <c r="A188">
        <v>96</v>
      </c>
      <c r="B188">
        <v>4109.96</v>
      </c>
      <c r="C188" t="s">
        <v>349</v>
      </c>
      <c r="D188" t="str">
        <f t="shared" si="8"/>
        <v>În interval</v>
      </c>
      <c r="J188">
        <v>202</v>
      </c>
      <c r="K188">
        <v>2577.37</v>
      </c>
      <c r="L188" t="s">
        <v>357</v>
      </c>
      <c r="M188" t="str">
        <f t="shared" si="9"/>
        <v>În interval</v>
      </c>
    </row>
    <row r="189" spans="1:13">
      <c r="A189">
        <v>96</v>
      </c>
      <c r="B189">
        <v>10194.450000000001</v>
      </c>
      <c r="C189" t="s">
        <v>349</v>
      </c>
      <c r="D189" t="str">
        <f t="shared" si="8"/>
        <v>În interval</v>
      </c>
      <c r="J189">
        <v>203</v>
      </c>
      <c r="K189">
        <v>647.12</v>
      </c>
      <c r="L189" t="s">
        <v>356</v>
      </c>
      <c r="M189" t="str">
        <f t="shared" si="9"/>
        <v>În interval</v>
      </c>
    </row>
    <row r="190" spans="1:13">
      <c r="A190">
        <v>97</v>
      </c>
      <c r="B190">
        <v>720.94</v>
      </c>
      <c r="C190" t="s">
        <v>349</v>
      </c>
      <c r="D190" t="str">
        <f t="shared" si="8"/>
        <v>În interval</v>
      </c>
      <c r="J190">
        <v>204</v>
      </c>
      <c r="K190">
        <v>3205.37</v>
      </c>
      <c r="L190" t="s">
        <v>357</v>
      </c>
      <c r="M190" t="str">
        <f t="shared" si="9"/>
        <v>În interval</v>
      </c>
    </row>
    <row r="191" spans="1:13">
      <c r="A191">
        <v>97</v>
      </c>
      <c r="B191">
        <v>18006.28</v>
      </c>
      <c r="C191" t="s">
        <v>348</v>
      </c>
      <c r="D191" t="str">
        <f t="shared" si="8"/>
        <v>În interval</v>
      </c>
      <c r="J191">
        <v>205</v>
      </c>
      <c r="K191">
        <v>2003.62</v>
      </c>
      <c r="L191" t="s">
        <v>356</v>
      </c>
      <c r="M191" t="str">
        <f t="shared" si="9"/>
        <v>În interval</v>
      </c>
    </row>
    <row r="192" spans="1:13">
      <c r="A192">
        <v>97</v>
      </c>
      <c r="B192">
        <v>23209.99</v>
      </c>
      <c r="C192" t="s">
        <v>349</v>
      </c>
      <c r="D192" t="str">
        <f t="shared" si="8"/>
        <v>În interval</v>
      </c>
      <c r="J192">
        <v>206</v>
      </c>
      <c r="K192">
        <v>2290.61</v>
      </c>
      <c r="L192" t="s">
        <v>358</v>
      </c>
      <c r="M192" t="str">
        <f t="shared" si="9"/>
        <v>În interval</v>
      </c>
    </row>
    <row r="193" spans="1:13">
      <c r="A193">
        <v>98</v>
      </c>
      <c r="B193">
        <v>36806.839999999997</v>
      </c>
      <c r="C193" t="s">
        <v>349</v>
      </c>
      <c r="D193" t="str">
        <f t="shared" si="8"/>
        <v>În interval</v>
      </c>
      <c r="J193">
        <v>207</v>
      </c>
      <c r="K193">
        <v>1200.29</v>
      </c>
      <c r="L193" t="s">
        <v>358</v>
      </c>
      <c r="M193" t="str">
        <f t="shared" si="9"/>
        <v>În interval</v>
      </c>
    </row>
    <row r="194" spans="1:13">
      <c r="A194">
        <v>98</v>
      </c>
      <c r="B194">
        <v>5635</v>
      </c>
      <c r="C194" t="s">
        <v>349</v>
      </c>
      <c r="D194" t="str">
        <f t="shared" si="8"/>
        <v>În interval</v>
      </c>
      <c r="J194">
        <v>208</v>
      </c>
      <c r="K194">
        <v>3954.14</v>
      </c>
      <c r="L194" t="s">
        <v>358</v>
      </c>
      <c r="M194" t="str">
        <f t="shared" si="9"/>
        <v>În interval</v>
      </c>
    </row>
    <row r="195" spans="1:13">
      <c r="A195">
        <v>99</v>
      </c>
      <c r="B195">
        <v>4961.33</v>
      </c>
      <c r="C195" t="s">
        <v>349</v>
      </c>
      <c r="D195" t="str">
        <f t="shared" ref="D195:D198" si="12">IF(OR(B195&lt;$F$9,B195&gt;$F$10),"Outlier","În interval")</f>
        <v>În interval</v>
      </c>
      <c r="J195">
        <v>209</v>
      </c>
      <c r="K195">
        <v>3352.07</v>
      </c>
      <c r="L195" t="s">
        <v>358</v>
      </c>
      <c r="M195" t="str">
        <f t="shared" ref="M195:M258" si="13">IF(OR(K195&lt;$O$9,K195&gt;$O$10),"Outlier","În interval")</f>
        <v>În interval</v>
      </c>
    </row>
    <row r="196" spans="1:13">
      <c r="A196">
        <v>99</v>
      </c>
      <c r="B196">
        <v>12397.89</v>
      </c>
      <c r="C196" t="s">
        <v>349</v>
      </c>
      <c r="D196" t="str">
        <f t="shared" si="12"/>
        <v>În interval</v>
      </c>
      <c r="J196">
        <v>210</v>
      </c>
      <c r="K196">
        <v>439.41</v>
      </c>
      <c r="L196" t="s">
        <v>357</v>
      </c>
      <c r="M196" t="str">
        <f t="shared" si="13"/>
        <v>În interval</v>
      </c>
    </row>
    <row r="197" spans="1:13">
      <c r="A197">
        <v>99</v>
      </c>
      <c r="B197">
        <v>21743.58</v>
      </c>
      <c r="C197" t="s">
        <v>349</v>
      </c>
      <c r="D197" t="str">
        <f t="shared" si="12"/>
        <v>În interval</v>
      </c>
      <c r="J197">
        <v>211</v>
      </c>
      <c r="K197">
        <v>3622.29</v>
      </c>
      <c r="L197" t="s">
        <v>356</v>
      </c>
      <c r="M197" t="str">
        <f t="shared" si="13"/>
        <v>În interval</v>
      </c>
    </row>
    <row r="198" spans="1:13">
      <c r="A198">
        <v>100</v>
      </c>
      <c r="B198">
        <v>8416.35</v>
      </c>
      <c r="C198" t="s">
        <v>349</v>
      </c>
      <c r="D198" t="str">
        <f t="shared" si="12"/>
        <v>În interval</v>
      </c>
      <c r="J198">
        <v>212</v>
      </c>
      <c r="K198">
        <v>42.48</v>
      </c>
      <c r="L198" t="s">
        <v>357</v>
      </c>
      <c r="M198" t="str">
        <f t="shared" si="13"/>
        <v>În interval</v>
      </c>
    </row>
    <row r="199" spans="1:13">
      <c r="J199">
        <v>213</v>
      </c>
      <c r="K199">
        <v>1638.84</v>
      </c>
      <c r="L199" t="s">
        <v>358</v>
      </c>
      <c r="M199" t="str">
        <f t="shared" si="13"/>
        <v>În interval</v>
      </c>
    </row>
    <row r="200" spans="1:13">
      <c r="A200" t="s">
        <v>919</v>
      </c>
      <c r="J200">
        <v>214</v>
      </c>
      <c r="K200">
        <v>2557.4699999999998</v>
      </c>
      <c r="L200" t="s">
        <v>356</v>
      </c>
      <c r="M200" t="str">
        <f t="shared" si="13"/>
        <v>În interval</v>
      </c>
    </row>
    <row r="201" spans="1:13">
      <c r="J201">
        <v>215</v>
      </c>
      <c r="K201">
        <v>3039.72</v>
      </c>
      <c r="L201" t="s">
        <v>356</v>
      </c>
      <c r="M201" t="str">
        <f t="shared" si="13"/>
        <v>În interval</v>
      </c>
    </row>
    <row r="202" spans="1:13">
      <c r="J202">
        <v>216</v>
      </c>
      <c r="K202">
        <v>3113.67</v>
      </c>
      <c r="L202" t="s">
        <v>358</v>
      </c>
      <c r="M202" t="str">
        <f t="shared" si="13"/>
        <v>În interval</v>
      </c>
    </row>
    <row r="203" spans="1:13">
      <c r="J203">
        <v>217</v>
      </c>
      <c r="K203">
        <v>718.75</v>
      </c>
      <c r="L203" t="s">
        <v>358</v>
      </c>
      <c r="M203" t="str">
        <f t="shared" si="13"/>
        <v>În interval</v>
      </c>
    </row>
    <row r="204" spans="1:13">
      <c r="J204">
        <v>218</v>
      </c>
      <c r="K204">
        <v>2956.06</v>
      </c>
      <c r="L204" t="s">
        <v>357</v>
      </c>
      <c r="M204" t="str">
        <f t="shared" si="13"/>
        <v>În interval</v>
      </c>
    </row>
    <row r="205" spans="1:13">
      <c r="J205">
        <v>219</v>
      </c>
      <c r="K205">
        <v>3114.31</v>
      </c>
      <c r="L205" t="s">
        <v>357</v>
      </c>
      <c r="M205" t="str">
        <f t="shared" si="13"/>
        <v>În interval</v>
      </c>
    </row>
    <row r="206" spans="1:13">
      <c r="J206">
        <v>220</v>
      </c>
      <c r="K206">
        <v>2273.9699999999998</v>
      </c>
      <c r="L206" t="s">
        <v>356</v>
      </c>
      <c r="M206" t="str">
        <f t="shared" si="13"/>
        <v>În interval</v>
      </c>
    </row>
    <row r="207" spans="1:13">
      <c r="J207">
        <v>221</v>
      </c>
      <c r="K207">
        <v>1380.18</v>
      </c>
      <c r="L207" t="s">
        <v>358</v>
      </c>
      <c r="M207" t="str">
        <f t="shared" si="13"/>
        <v>În interval</v>
      </c>
    </row>
    <row r="208" spans="1:13">
      <c r="J208">
        <v>222</v>
      </c>
      <c r="K208">
        <v>312.12</v>
      </c>
      <c r="L208" t="s">
        <v>356</v>
      </c>
      <c r="M208" t="str">
        <f t="shared" si="13"/>
        <v>În interval</v>
      </c>
    </row>
    <row r="209" spans="10:13">
      <c r="J209">
        <v>223</v>
      </c>
      <c r="K209">
        <v>1204.06</v>
      </c>
      <c r="L209" t="s">
        <v>358</v>
      </c>
      <c r="M209" t="str">
        <f t="shared" si="13"/>
        <v>În interval</v>
      </c>
    </row>
    <row r="210" spans="10:13">
      <c r="J210">
        <v>224</v>
      </c>
      <c r="K210">
        <v>2924.4</v>
      </c>
      <c r="L210" t="s">
        <v>357</v>
      </c>
      <c r="M210" t="str">
        <f t="shared" si="13"/>
        <v>În interval</v>
      </c>
    </row>
    <row r="211" spans="10:13">
      <c r="J211">
        <v>225</v>
      </c>
      <c r="K211">
        <v>4144.24</v>
      </c>
      <c r="L211" t="s">
        <v>357</v>
      </c>
      <c r="M211" t="str">
        <f t="shared" si="13"/>
        <v>În interval</v>
      </c>
    </row>
    <row r="212" spans="10:13">
      <c r="J212">
        <v>226</v>
      </c>
      <c r="K212">
        <v>4413.8900000000003</v>
      </c>
      <c r="L212" t="s">
        <v>357</v>
      </c>
      <c r="M212" t="str">
        <f t="shared" si="13"/>
        <v>În interval</v>
      </c>
    </row>
    <row r="213" spans="10:13">
      <c r="J213">
        <v>227</v>
      </c>
      <c r="K213">
        <v>3411.86</v>
      </c>
      <c r="L213" t="s">
        <v>357</v>
      </c>
      <c r="M213" t="str">
        <f t="shared" si="13"/>
        <v>În interval</v>
      </c>
    </row>
    <row r="214" spans="10:13">
      <c r="J214">
        <v>228</v>
      </c>
      <c r="K214">
        <v>670.24</v>
      </c>
      <c r="L214" t="s">
        <v>357</v>
      </c>
      <c r="M214" t="str">
        <f t="shared" si="13"/>
        <v>În interval</v>
      </c>
    </row>
    <row r="215" spans="10:13">
      <c r="J215">
        <v>229</v>
      </c>
      <c r="K215">
        <v>3701.48</v>
      </c>
      <c r="L215" t="s">
        <v>356</v>
      </c>
      <c r="M215" t="str">
        <f t="shared" si="13"/>
        <v>În interval</v>
      </c>
    </row>
    <row r="216" spans="10:13">
      <c r="J216">
        <v>230</v>
      </c>
      <c r="K216">
        <v>4833.9799999999996</v>
      </c>
      <c r="L216" t="s">
        <v>357</v>
      </c>
      <c r="M216" t="str">
        <f t="shared" si="13"/>
        <v>În interval</v>
      </c>
    </row>
    <row r="217" spans="10:13">
      <c r="J217">
        <v>231</v>
      </c>
      <c r="K217">
        <v>2741.06</v>
      </c>
      <c r="L217" t="s">
        <v>358</v>
      </c>
      <c r="M217" t="str">
        <f t="shared" si="13"/>
        <v>În interval</v>
      </c>
    </row>
    <row r="218" spans="10:13">
      <c r="J218">
        <v>232</v>
      </c>
      <c r="K218">
        <v>514.15</v>
      </c>
      <c r="L218" t="s">
        <v>356</v>
      </c>
      <c r="M218" t="str">
        <f t="shared" si="13"/>
        <v>În interval</v>
      </c>
    </row>
    <row r="219" spans="10:13">
      <c r="J219">
        <v>233</v>
      </c>
      <c r="K219">
        <v>3592.83</v>
      </c>
      <c r="L219" t="s">
        <v>357</v>
      </c>
      <c r="M219" t="str">
        <f t="shared" si="13"/>
        <v>În interval</v>
      </c>
    </row>
    <row r="220" spans="10:13">
      <c r="J220">
        <v>234</v>
      </c>
      <c r="K220">
        <v>405.06</v>
      </c>
      <c r="L220" t="s">
        <v>358</v>
      </c>
      <c r="M220" t="str">
        <f t="shared" si="13"/>
        <v>În interval</v>
      </c>
    </row>
    <row r="221" spans="10:13">
      <c r="J221">
        <v>235</v>
      </c>
      <c r="K221">
        <v>654.05999999999995</v>
      </c>
      <c r="L221" t="s">
        <v>356</v>
      </c>
      <c r="M221" t="str">
        <f t="shared" si="13"/>
        <v>În interval</v>
      </c>
    </row>
    <row r="222" spans="10:13">
      <c r="J222">
        <v>236</v>
      </c>
      <c r="K222">
        <v>13.97</v>
      </c>
      <c r="L222" t="s">
        <v>356</v>
      </c>
      <c r="M222" t="str">
        <f t="shared" si="13"/>
        <v>În interval</v>
      </c>
    </row>
    <row r="223" spans="10:13">
      <c r="J223">
        <v>237</v>
      </c>
      <c r="K223">
        <v>3425.5</v>
      </c>
      <c r="L223" t="s">
        <v>358</v>
      </c>
      <c r="M223" t="str">
        <f t="shared" si="13"/>
        <v>În interval</v>
      </c>
    </row>
    <row r="224" spans="10:13">
      <c r="J224">
        <v>238</v>
      </c>
      <c r="K224">
        <v>4930.3100000000004</v>
      </c>
      <c r="L224" t="s">
        <v>357</v>
      </c>
      <c r="M224" t="str">
        <f t="shared" si="13"/>
        <v>În interval</v>
      </c>
    </row>
    <row r="225" spans="10:13">
      <c r="J225">
        <v>239</v>
      </c>
      <c r="K225">
        <v>2325.79</v>
      </c>
      <c r="L225" t="s">
        <v>357</v>
      </c>
      <c r="M225" t="str">
        <f t="shared" si="13"/>
        <v>În interval</v>
      </c>
    </row>
    <row r="226" spans="10:13">
      <c r="J226">
        <v>240</v>
      </c>
      <c r="K226">
        <v>1598.2</v>
      </c>
      <c r="L226" t="s">
        <v>358</v>
      </c>
      <c r="M226" t="str">
        <f t="shared" si="13"/>
        <v>În interval</v>
      </c>
    </row>
    <row r="227" spans="10:13">
      <c r="J227">
        <v>241</v>
      </c>
      <c r="K227">
        <v>2756.28</v>
      </c>
      <c r="L227" t="s">
        <v>358</v>
      </c>
      <c r="M227" t="str">
        <f t="shared" si="13"/>
        <v>În interval</v>
      </c>
    </row>
    <row r="228" spans="10:13">
      <c r="J228">
        <v>242</v>
      </c>
      <c r="K228">
        <v>4748.6000000000004</v>
      </c>
      <c r="L228" t="s">
        <v>357</v>
      </c>
      <c r="M228" t="str">
        <f t="shared" si="13"/>
        <v>În interval</v>
      </c>
    </row>
    <row r="229" spans="10:13">
      <c r="J229">
        <v>243</v>
      </c>
      <c r="K229">
        <v>3615.36</v>
      </c>
      <c r="L229" t="s">
        <v>357</v>
      </c>
      <c r="M229" t="str">
        <f t="shared" si="13"/>
        <v>În interval</v>
      </c>
    </row>
    <row r="230" spans="10:13">
      <c r="J230">
        <v>244</v>
      </c>
      <c r="K230">
        <v>4301.95</v>
      </c>
      <c r="L230" t="s">
        <v>356</v>
      </c>
      <c r="M230" t="str">
        <f t="shared" si="13"/>
        <v>În interval</v>
      </c>
    </row>
    <row r="231" spans="10:13">
      <c r="J231">
        <v>245</v>
      </c>
      <c r="K231">
        <v>2102.6999999999998</v>
      </c>
      <c r="L231" t="s">
        <v>357</v>
      </c>
      <c r="M231" t="str">
        <f t="shared" si="13"/>
        <v>În interval</v>
      </c>
    </row>
    <row r="232" spans="10:13">
      <c r="J232">
        <v>246</v>
      </c>
      <c r="K232">
        <v>1455.49</v>
      </c>
      <c r="L232" t="s">
        <v>356</v>
      </c>
      <c r="M232" t="str">
        <f t="shared" si="13"/>
        <v>În interval</v>
      </c>
    </row>
    <row r="233" spans="10:13">
      <c r="J233">
        <v>247</v>
      </c>
      <c r="K233">
        <v>771.3</v>
      </c>
      <c r="L233" t="s">
        <v>356</v>
      </c>
      <c r="M233" t="str">
        <f t="shared" si="13"/>
        <v>În interval</v>
      </c>
    </row>
    <row r="234" spans="10:13">
      <c r="J234">
        <v>248</v>
      </c>
      <c r="K234">
        <v>2383.48</v>
      </c>
      <c r="L234" t="s">
        <v>356</v>
      </c>
      <c r="M234" t="str">
        <f t="shared" si="13"/>
        <v>În interval</v>
      </c>
    </row>
    <row r="235" spans="10:13">
      <c r="J235">
        <v>249</v>
      </c>
      <c r="K235">
        <v>4229.67</v>
      </c>
      <c r="L235" t="s">
        <v>356</v>
      </c>
      <c r="M235" t="str">
        <f t="shared" si="13"/>
        <v>În interval</v>
      </c>
    </row>
    <row r="236" spans="10:13">
      <c r="J236">
        <v>250</v>
      </c>
      <c r="K236">
        <v>4326.07</v>
      </c>
      <c r="L236" t="s">
        <v>358</v>
      </c>
      <c r="M236" t="str">
        <f t="shared" si="13"/>
        <v>În interval</v>
      </c>
    </row>
    <row r="237" spans="10:13">
      <c r="J237">
        <v>251</v>
      </c>
      <c r="K237">
        <v>3702.09</v>
      </c>
      <c r="L237" t="s">
        <v>358</v>
      </c>
      <c r="M237" t="str">
        <f t="shared" si="13"/>
        <v>În interval</v>
      </c>
    </row>
    <row r="238" spans="10:13">
      <c r="J238">
        <v>252</v>
      </c>
      <c r="K238">
        <v>4292.95</v>
      </c>
      <c r="L238" t="s">
        <v>357</v>
      </c>
      <c r="M238" t="str">
        <f t="shared" si="13"/>
        <v>În interval</v>
      </c>
    </row>
    <row r="239" spans="10:13">
      <c r="J239">
        <v>253</v>
      </c>
      <c r="K239">
        <v>4221.95</v>
      </c>
      <c r="L239" t="s">
        <v>357</v>
      </c>
      <c r="M239" t="str">
        <f t="shared" si="13"/>
        <v>În interval</v>
      </c>
    </row>
    <row r="240" spans="10:13">
      <c r="J240">
        <v>254</v>
      </c>
      <c r="K240">
        <v>3912.02</v>
      </c>
      <c r="L240" t="s">
        <v>357</v>
      </c>
      <c r="M240" t="str">
        <f t="shared" si="13"/>
        <v>În interval</v>
      </c>
    </row>
    <row r="241" spans="10:13">
      <c r="J241">
        <v>255</v>
      </c>
      <c r="K241">
        <v>2036.07</v>
      </c>
      <c r="L241" t="s">
        <v>358</v>
      </c>
      <c r="M241" t="str">
        <f t="shared" si="13"/>
        <v>În interval</v>
      </c>
    </row>
    <row r="242" spans="10:13">
      <c r="J242">
        <v>256</v>
      </c>
      <c r="K242">
        <v>1315.13</v>
      </c>
      <c r="L242" t="s">
        <v>356</v>
      </c>
      <c r="M242" t="str">
        <f t="shared" si="13"/>
        <v>În interval</v>
      </c>
    </row>
    <row r="243" spans="10:13">
      <c r="J243">
        <v>257</v>
      </c>
      <c r="K243">
        <v>806.41</v>
      </c>
      <c r="L243" t="s">
        <v>357</v>
      </c>
      <c r="M243" t="str">
        <f t="shared" si="13"/>
        <v>În interval</v>
      </c>
    </row>
    <row r="244" spans="10:13">
      <c r="J244">
        <v>258</v>
      </c>
      <c r="K244">
        <v>1081.43</v>
      </c>
      <c r="L244" t="s">
        <v>358</v>
      </c>
      <c r="M244" t="str">
        <f t="shared" si="13"/>
        <v>În interval</v>
      </c>
    </row>
    <row r="245" spans="10:13">
      <c r="J245">
        <v>259</v>
      </c>
      <c r="K245">
        <v>2030.18</v>
      </c>
      <c r="L245" t="s">
        <v>357</v>
      </c>
      <c r="M245" t="str">
        <f t="shared" si="13"/>
        <v>În interval</v>
      </c>
    </row>
    <row r="246" spans="10:13">
      <c r="J246">
        <v>260</v>
      </c>
      <c r="K246">
        <v>4972.16</v>
      </c>
      <c r="L246" t="s">
        <v>358</v>
      </c>
      <c r="M246" t="str">
        <f t="shared" si="13"/>
        <v>În interval</v>
      </c>
    </row>
    <row r="247" spans="10:13">
      <c r="J247">
        <v>261</v>
      </c>
      <c r="K247">
        <v>3192.31</v>
      </c>
      <c r="L247" t="s">
        <v>356</v>
      </c>
      <c r="M247" t="str">
        <f t="shared" si="13"/>
        <v>În interval</v>
      </c>
    </row>
    <row r="248" spans="10:13">
      <c r="J248">
        <v>262</v>
      </c>
      <c r="K248">
        <v>4030.21</v>
      </c>
      <c r="L248" t="s">
        <v>358</v>
      </c>
      <c r="M248" t="str">
        <f t="shared" si="13"/>
        <v>În interval</v>
      </c>
    </row>
    <row r="249" spans="10:13">
      <c r="J249">
        <v>263</v>
      </c>
      <c r="K249">
        <v>2838.74</v>
      </c>
      <c r="L249" t="s">
        <v>356</v>
      </c>
      <c r="M249" t="str">
        <f t="shared" si="13"/>
        <v>În interval</v>
      </c>
    </row>
    <row r="250" spans="10:13">
      <c r="J250">
        <v>264</v>
      </c>
      <c r="K250">
        <v>906.15</v>
      </c>
      <c r="L250" t="s">
        <v>357</v>
      </c>
      <c r="M250" t="str">
        <f t="shared" si="13"/>
        <v>În interval</v>
      </c>
    </row>
    <row r="251" spans="10:13">
      <c r="J251">
        <v>265</v>
      </c>
      <c r="K251">
        <v>4707.57</v>
      </c>
      <c r="L251" t="s">
        <v>358</v>
      </c>
      <c r="M251" t="str">
        <f t="shared" si="13"/>
        <v>În interval</v>
      </c>
    </row>
    <row r="252" spans="10:13">
      <c r="J252">
        <v>266</v>
      </c>
      <c r="K252">
        <v>2135.5500000000002</v>
      </c>
      <c r="L252" t="s">
        <v>356</v>
      </c>
      <c r="M252" t="str">
        <f t="shared" si="13"/>
        <v>În interval</v>
      </c>
    </row>
    <row r="253" spans="10:13">
      <c r="J253">
        <v>267</v>
      </c>
      <c r="K253">
        <v>987.66</v>
      </c>
      <c r="L253" t="s">
        <v>356</v>
      </c>
      <c r="M253" t="str">
        <f t="shared" si="13"/>
        <v>În interval</v>
      </c>
    </row>
    <row r="254" spans="10:13">
      <c r="J254">
        <v>268</v>
      </c>
      <c r="K254">
        <v>4908.12</v>
      </c>
      <c r="L254" t="s">
        <v>358</v>
      </c>
      <c r="M254" t="str">
        <f t="shared" si="13"/>
        <v>În interval</v>
      </c>
    </row>
    <row r="255" spans="10:13">
      <c r="J255">
        <v>269</v>
      </c>
      <c r="K255">
        <v>1323.38</v>
      </c>
      <c r="L255" t="s">
        <v>357</v>
      </c>
      <c r="M255" t="str">
        <f t="shared" si="13"/>
        <v>În interval</v>
      </c>
    </row>
    <row r="256" spans="10:13">
      <c r="J256">
        <v>270</v>
      </c>
      <c r="K256">
        <v>649.23</v>
      </c>
      <c r="L256" t="s">
        <v>358</v>
      </c>
      <c r="M256" t="str">
        <f t="shared" si="13"/>
        <v>În interval</v>
      </c>
    </row>
    <row r="257" spans="10:13">
      <c r="J257">
        <v>271</v>
      </c>
      <c r="K257">
        <v>2402.79</v>
      </c>
      <c r="L257" t="s">
        <v>358</v>
      </c>
      <c r="M257" t="str">
        <f t="shared" si="13"/>
        <v>În interval</v>
      </c>
    </row>
    <row r="258" spans="10:13">
      <c r="J258">
        <v>272</v>
      </c>
      <c r="K258">
        <v>4341.79</v>
      </c>
      <c r="L258" t="s">
        <v>358</v>
      </c>
      <c r="M258" t="str">
        <f t="shared" si="13"/>
        <v>În interval</v>
      </c>
    </row>
    <row r="259" spans="10:13">
      <c r="J259">
        <v>273</v>
      </c>
      <c r="K259">
        <v>4030.65</v>
      </c>
      <c r="L259" t="s">
        <v>358</v>
      </c>
      <c r="M259" t="str">
        <f t="shared" ref="M259:M322" si="14">IF(OR(K259&lt;$O$9,K259&gt;$O$10),"Outlier","În interval")</f>
        <v>În interval</v>
      </c>
    </row>
    <row r="260" spans="10:13">
      <c r="J260">
        <v>274</v>
      </c>
      <c r="K260">
        <v>4078.58</v>
      </c>
      <c r="L260" t="s">
        <v>356</v>
      </c>
      <c r="M260" t="str">
        <f t="shared" si="14"/>
        <v>În interval</v>
      </c>
    </row>
    <row r="261" spans="10:13">
      <c r="J261">
        <v>275</v>
      </c>
      <c r="K261">
        <v>1473.81</v>
      </c>
      <c r="L261" t="s">
        <v>357</v>
      </c>
      <c r="M261" t="str">
        <f t="shared" si="14"/>
        <v>În interval</v>
      </c>
    </row>
    <row r="262" spans="10:13">
      <c r="J262">
        <v>276</v>
      </c>
      <c r="K262">
        <v>254.28</v>
      </c>
      <c r="L262" t="s">
        <v>356</v>
      </c>
      <c r="M262" t="str">
        <f t="shared" si="14"/>
        <v>În interval</v>
      </c>
    </row>
    <row r="263" spans="10:13">
      <c r="J263">
        <v>277</v>
      </c>
      <c r="K263">
        <v>4586.99</v>
      </c>
      <c r="L263" t="s">
        <v>358</v>
      </c>
      <c r="M263" t="str">
        <f t="shared" si="14"/>
        <v>În interval</v>
      </c>
    </row>
    <row r="264" spans="10:13">
      <c r="J264">
        <v>278</v>
      </c>
      <c r="K264">
        <v>3882.83</v>
      </c>
      <c r="L264" t="s">
        <v>358</v>
      </c>
      <c r="M264" t="str">
        <f t="shared" si="14"/>
        <v>În interval</v>
      </c>
    </row>
    <row r="265" spans="10:13">
      <c r="J265">
        <v>279</v>
      </c>
      <c r="K265">
        <v>3562.46</v>
      </c>
      <c r="L265" t="s">
        <v>357</v>
      </c>
      <c r="M265" t="str">
        <f t="shared" si="14"/>
        <v>În interval</v>
      </c>
    </row>
    <row r="266" spans="10:13">
      <c r="J266">
        <v>280</v>
      </c>
      <c r="K266">
        <v>2435.5500000000002</v>
      </c>
      <c r="L266" t="s">
        <v>357</v>
      </c>
      <c r="M266" t="str">
        <f t="shared" si="14"/>
        <v>În interval</v>
      </c>
    </row>
    <row r="267" spans="10:13">
      <c r="J267">
        <v>281</v>
      </c>
      <c r="K267">
        <v>173.11</v>
      </c>
      <c r="L267" t="s">
        <v>358</v>
      </c>
      <c r="M267" t="str">
        <f t="shared" si="14"/>
        <v>În interval</v>
      </c>
    </row>
    <row r="268" spans="10:13">
      <c r="J268">
        <v>282</v>
      </c>
      <c r="K268">
        <v>2973.03</v>
      </c>
      <c r="L268" t="s">
        <v>356</v>
      </c>
      <c r="M268" t="str">
        <f t="shared" si="14"/>
        <v>În interval</v>
      </c>
    </row>
    <row r="269" spans="10:13">
      <c r="J269">
        <v>283</v>
      </c>
      <c r="K269">
        <v>2505.6799999999998</v>
      </c>
      <c r="L269" t="s">
        <v>358</v>
      </c>
      <c r="M269" t="str">
        <f t="shared" si="14"/>
        <v>În interval</v>
      </c>
    </row>
    <row r="270" spans="10:13">
      <c r="J270">
        <v>284</v>
      </c>
      <c r="K270">
        <v>2635.89</v>
      </c>
      <c r="L270" t="s">
        <v>356</v>
      </c>
      <c r="M270" t="str">
        <f t="shared" si="14"/>
        <v>În interval</v>
      </c>
    </row>
    <row r="271" spans="10:13">
      <c r="J271">
        <v>285</v>
      </c>
      <c r="K271">
        <v>1926.4</v>
      </c>
      <c r="L271" t="s">
        <v>357</v>
      </c>
      <c r="M271" t="str">
        <f t="shared" si="14"/>
        <v>În interval</v>
      </c>
    </row>
    <row r="272" spans="10:13">
      <c r="J272">
        <v>286</v>
      </c>
      <c r="K272">
        <v>964.81</v>
      </c>
      <c r="L272" t="s">
        <v>358</v>
      </c>
      <c r="M272" t="str">
        <f t="shared" si="14"/>
        <v>În interval</v>
      </c>
    </row>
    <row r="273" spans="10:13">
      <c r="J273">
        <v>287</v>
      </c>
      <c r="K273">
        <v>2132.4499999999998</v>
      </c>
      <c r="L273" t="s">
        <v>358</v>
      </c>
      <c r="M273" t="str">
        <f t="shared" si="14"/>
        <v>În interval</v>
      </c>
    </row>
    <row r="274" spans="10:13">
      <c r="J274">
        <v>288</v>
      </c>
      <c r="K274">
        <v>935.94</v>
      </c>
      <c r="L274" t="s">
        <v>358</v>
      </c>
      <c r="M274" t="str">
        <f t="shared" si="14"/>
        <v>În interval</v>
      </c>
    </row>
    <row r="275" spans="10:13">
      <c r="J275">
        <v>289</v>
      </c>
      <c r="K275">
        <v>1345.6</v>
      </c>
      <c r="L275" t="s">
        <v>356</v>
      </c>
      <c r="M275" t="str">
        <f t="shared" si="14"/>
        <v>În interval</v>
      </c>
    </row>
    <row r="276" spans="10:13">
      <c r="J276">
        <v>290</v>
      </c>
      <c r="K276">
        <v>2843.27</v>
      </c>
      <c r="L276" t="s">
        <v>357</v>
      </c>
      <c r="M276" t="str">
        <f t="shared" si="14"/>
        <v>În interval</v>
      </c>
    </row>
    <row r="277" spans="10:13">
      <c r="J277">
        <v>291</v>
      </c>
      <c r="K277">
        <v>4723.49</v>
      </c>
      <c r="L277" t="s">
        <v>356</v>
      </c>
      <c r="M277" t="str">
        <f t="shared" si="14"/>
        <v>În interval</v>
      </c>
    </row>
    <row r="278" spans="10:13">
      <c r="J278">
        <v>292</v>
      </c>
      <c r="K278">
        <v>3430.09</v>
      </c>
      <c r="L278" t="s">
        <v>358</v>
      </c>
      <c r="M278" t="str">
        <f t="shared" si="14"/>
        <v>În interval</v>
      </c>
    </row>
    <row r="279" spans="10:13">
      <c r="J279">
        <v>293</v>
      </c>
      <c r="K279">
        <v>3000.64</v>
      </c>
      <c r="L279" t="s">
        <v>357</v>
      </c>
      <c r="M279" t="str">
        <f t="shared" si="14"/>
        <v>În interval</v>
      </c>
    </row>
    <row r="280" spans="10:13">
      <c r="J280">
        <v>294</v>
      </c>
      <c r="K280">
        <v>4010.98</v>
      </c>
      <c r="L280" t="s">
        <v>356</v>
      </c>
      <c r="M280" t="str">
        <f t="shared" si="14"/>
        <v>În interval</v>
      </c>
    </row>
    <row r="281" spans="10:13">
      <c r="J281">
        <v>295</v>
      </c>
      <c r="K281">
        <v>2432.42</v>
      </c>
      <c r="L281" t="s">
        <v>357</v>
      </c>
      <c r="M281" t="str">
        <f t="shared" si="14"/>
        <v>În interval</v>
      </c>
    </row>
    <row r="282" spans="10:13">
      <c r="J282">
        <v>296</v>
      </c>
      <c r="K282">
        <v>4712.96</v>
      </c>
      <c r="L282" t="s">
        <v>357</v>
      </c>
      <c r="M282" t="str">
        <f t="shared" si="14"/>
        <v>În interval</v>
      </c>
    </row>
    <row r="283" spans="10:13">
      <c r="J283">
        <v>297</v>
      </c>
      <c r="K283">
        <v>2929.49</v>
      </c>
      <c r="L283" t="s">
        <v>357</v>
      </c>
      <c r="M283" t="str">
        <f t="shared" si="14"/>
        <v>În interval</v>
      </c>
    </row>
    <row r="284" spans="10:13">
      <c r="J284">
        <v>298</v>
      </c>
      <c r="K284">
        <v>1325.77</v>
      </c>
      <c r="L284" t="s">
        <v>356</v>
      </c>
      <c r="M284" t="str">
        <f t="shared" si="14"/>
        <v>În interval</v>
      </c>
    </row>
    <row r="285" spans="10:13">
      <c r="J285">
        <v>299</v>
      </c>
      <c r="K285">
        <v>340.54</v>
      </c>
      <c r="L285" t="s">
        <v>358</v>
      </c>
      <c r="M285" t="str">
        <f t="shared" si="14"/>
        <v>În interval</v>
      </c>
    </row>
    <row r="286" spans="10:13">
      <c r="J286">
        <v>300</v>
      </c>
      <c r="K286">
        <v>869.08</v>
      </c>
      <c r="L286" t="s">
        <v>356</v>
      </c>
      <c r="M286" t="str">
        <f t="shared" si="14"/>
        <v>În interval</v>
      </c>
    </row>
    <row r="287" spans="10:13">
      <c r="J287">
        <v>301</v>
      </c>
      <c r="K287">
        <v>4721.62</v>
      </c>
      <c r="L287" t="s">
        <v>358</v>
      </c>
      <c r="M287" t="str">
        <f t="shared" si="14"/>
        <v>În interval</v>
      </c>
    </row>
    <row r="288" spans="10:13">
      <c r="J288">
        <v>302</v>
      </c>
      <c r="K288">
        <v>2612.12</v>
      </c>
      <c r="L288" t="s">
        <v>357</v>
      </c>
      <c r="M288" t="str">
        <f t="shared" si="14"/>
        <v>În interval</v>
      </c>
    </row>
    <row r="289" spans="10:13">
      <c r="J289">
        <v>303</v>
      </c>
      <c r="K289">
        <v>3269.07</v>
      </c>
      <c r="L289" t="s">
        <v>358</v>
      </c>
      <c r="M289" t="str">
        <f t="shared" si="14"/>
        <v>În interval</v>
      </c>
    </row>
    <row r="290" spans="10:13">
      <c r="J290">
        <v>304</v>
      </c>
      <c r="K290">
        <v>1675.92</v>
      </c>
      <c r="L290" t="s">
        <v>358</v>
      </c>
      <c r="M290" t="str">
        <f t="shared" si="14"/>
        <v>În interval</v>
      </c>
    </row>
    <row r="291" spans="10:13">
      <c r="J291">
        <v>305</v>
      </c>
      <c r="K291">
        <v>2012.78</v>
      </c>
      <c r="L291" t="s">
        <v>358</v>
      </c>
      <c r="M291" t="str">
        <f t="shared" si="14"/>
        <v>În interval</v>
      </c>
    </row>
    <row r="292" spans="10:13">
      <c r="J292">
        <v>306</v>
      </c>
      <c r="K292">
        <v>1589.58</v>
      </c>
      <c r="L292" t="s">
        <v>358</v>
      </c>
      <c r="M292" t="str">
        <f t="shared" si="14"/>
        <v>În interval</v>
      </c>
    </row>
    <row r="293" spans="10:13">
      <c r="J293">
        <v>307</v>
      </c>
      <c r="K293">
        <v>4915.91</v>
      </c>
      <c r="L293" t="s">
        <v>357</v>
      </c>
      <c r="M293" t="str">
        <f t="shared" si="14"/>
        <v>În interval</v>
      </c>
    </row>
    <row r="294" spans="10:13">
      <c r="J294">
        <v>308</v>
      </c>
      <c r="K294">
        <v>2094.16</v>
      </c>
      <c r="L294" t="s">
        <v>356</v>
      </c>
      <c r="M294" t="str">
        <f t="shared" si="14"/>
        <v>În interval</v>
      </c>
    </row>
    <row r="295" spans="10:13">
      <c r="J295">
        <v>309</v>
      </c>
      <c r="K295">
        <v>775.99</v>
      </c>
      <c r="L295" t="s">
        <v>357</v>
      </c>
      <c r="M295" t="str">
        <f t="shared" si="14"/>
        <v>În interval</v>
      </c>
    </row>
    <row r="296" spans="10:13">
      <c r="J296">
        <v>310</v>
      </c>
      <c r="K296">
        <v>1895.22</v>
      </c>
      <c r="L296" t="s">
        <v>357</v>
      </c>
      <c r="M296" t="str">
        <f t="shared" si="14"/>
        <v>În interval</v>
      </c>
    </row>
    <row r="297" spans="10:13">
      <c r="J297">
        <v>311</v>
      </c>
      <c r="K297">
        <v>1693.96</v>
      </c>
      <c r="L297" t="s">
        <v>356</v>
      </c>
      <c r="M297" t="str">
        <f t="shared" si="14"/>
        <v>În interval</v>
      </c>
    </row>
    <row r="298" spans="10:13">
      <c r="J298">
        <v>312</v>
      </c>
      <c r="K298">
        <v>2458.4899999999998</v>
      </c>
      <c r="L298" t="s">
        <v>357</v>
      </c>
      <c r="M298" t="str">
        <f t="shared" si="14"/>
        <v>În interval</v>
      </c>
    </row>
    <row r="299" spans="10:13">
      <c r="J299">
        <v>313</v>
      </c>
      <c r="K299">
        <v>2051.9</v>
      </c>
      <c r="L299" t="s">
        <v>357</v>
      </c>
      <c r="M299" t="str">
        <f t="shared" si="14"/>
        <v>În interval</v>
      </c>
    </row>
    <row r="300" spans="10:13">
      <c r="J300">
        <v>314</v>
      </c>
      <c r="K300">
        <v>1436.1</v>
      </c>
      <c r="L300" t="s">
        <v>357</v>
      </c>
      <c r="M300" t="str">
        <f t="shared" si="14"/>
        <v>În interval</v>
      </c>
    </row>
    <row r="301" spans="10:13">
      <c r="J301">
        <v>315</v>
      </c>
      <c r="K301">
        <v>4618.0600000000004</v>
      </c>
      <c r="L301" t="s">
        <v>356</v>
      </c>
      <c r="M301" t="str">
        <f t="shared" si="14"/>
        <v>În interval</v>
      </c>
    </row>
    <row r="302" spans="10:13">
      <c r="J302">
        <v>316</v>
      </c>
      <c r="K302">
        <v>3460.35</v>
      </c>
      <c r="L302" t="s">
        <v>357</v>
      </c>
      <c r="M302" t="str">
        <f t="shared" si="14"/>
        <v>În interval</v>
      </c>
    </row>
    <row r="303" spans="10:13">
      <c r="J303">
        <v>317</v>
      </c>
      <c r="K303">
        <v>1443.16</v>
      </c>
      <c r="L303" t="s">
        <v>356</v>
      </c>
      <c r="M303" t="str">
        <f t="shared" si="14"/>
        <v>În interval</v>
      </c>
    </row>
    <row r="304" spans="10:13">
      <c r="J304">
        <v>318</v>
      </c>
      <c r="K304">
        <v>3044.78</v>
      </c>
      <c r="L304" t="s">
        <v>357</v>
      </c>
      <c r="M304" t="str">
        <f t="shared" si="14"/>
        <v>În interval</v>
      </c>
    </row>
    <row r="305" spans="10:13">
      <c r="J305">
        <v>319</v>
      </c>
      <c r="K305">
        <v>4273.87</v>
      </c>
      <c r="L305" t="s">
        <v>358</v>
      </c>
      <c r="M305" t="str">
        <f t="shared" si="14"/>
        <v>În interval</v>
      </c>
    </row>
    <row r="306" spans="10:13">
      <c r="J306">
        <v>320</v>
      </c>
      <c r="K306">
        <v>821.87</v>
      </c>
      <c r="L306" t="s">
        <v>356</v>
      </c>
      <c r="M306" t="str">
        <f t="shared" si="14"/>
        <v>În interval</v>
      </c>
    </row>
    <row r="307" spans="10:13">
      <c r="J307">
        <v>321</v>
      </c>
      <c r="K307">
        <v>3844.51</v>
      </c>
      <c r="L307" t="s">
        <v>356</v>
      </c>
      <c r="M307" t="str">
        <f t="shared" si="14"/>
        <v>În interval</v>
      </c>
    </row>
    <row r="308" spans="10:13">
      <c r="J308">
        <v>322</v>
      </c>
      <c r="K308">
        <v>3193.9</v>
      </c>
      <c r="L308" t="s">
        <v>358</v>
      </c>
      <c r="M308" t="str">
        <f t="shared" si="14"/>
        <v>În interval</v>
      </c>
    </row>
    <row r="309" spans="10:13">
      <c r="J309">
        <v>323</v>
      </c>
      <c r="K309">
        <v>4937.3599999999997</v>
      </c>
      <c r="L309" t="s">
        <v>358</v>
      </c>
      <c r="M309" t="str">
        <f t="shared" si="14"/>
        <v>În interval</v>
      </c>
    </row>
    <row r="310" spans="10:13">
      <c r="J310">
        <v>324</v>
      </c>
      <c r="K310">
        <v>1062.46</v>
      </c>
      <c r="L310" t="s">
        <v>356</v>
      </c>
      <c r="M310" t="str">
        <f t="shared" si="14"/>
        <v>În interval</v>
      </c>
    </row>
    <row r="311" spans="10:13">
      <c r="J311">
        <v>325</v>
      </c>
      <c r="K311">
        <v>3588.76</v>
      </c>
      <c r="L311" t="s">
        <v>357</v>
      </c>
      <c r="M311" t="str">
        <f t="shared" si="14"/>
        <v>În interval</v>
      </c>
    </row>
    <row r="312" spans="10:13">
      <c r="J312">
        <v>326</v>
      </c>
      <c r="K312">
        <v>852.13</v>
      </c>
      <c r="L312" t="s">
        <v>357</v>
      </c>
      <c r="M312" t="str">
        <f t="shared" si="14"/>
        <v>În interval</v>
      </c>
    </row>
    <row r="313" spans="10:13">
      <c r="J313">
        <v>327</v>
      </c>
      <c r="K313">
        <v>198.75</v>
      </c>
      <c r="L313" t="s">
        <v>356</v>
      </c>
      <c r="M313" t="str">
        <f t="shared" si="14"/>
        <v>În interval</v>
      </c>
    </row>
    <row r="314" spans="10:13">
      <c r="J314">
        <v>328</v>
      </c>
      <c r="K314">
        <v>2430.38</v>
      </c>
      <c r="L314" t="s">
        <v>356</v>
      </c>
      <c r="M314" t="str">
        <f t="shared" si="14"/>
        <v>În interval</v>
      </c>
    </row>
    <row r="315" spans="10:13">
      <c r="J315">
        <v>329</v>
      </c>
      <c r="K315">
        <v>1644.87</v>
      </c>
      <c r="L315" t="s">
        <v>356</v>
      </c>
      <c r="M315" t="str">
        <f t="shared" si="14"/>
        <v>În interval</v>
      </c>
    </row>
    <row r="316" spans="10:13">
      <c r="J316">
        <v>330</v>
      </c>
      <c r="K316">
        <v>4901.01</v>
      </c>
      <c r="L316" t="s">
        <v>357</v>
      </c>
      <c r="M316" t="str">
        <f t="shared" si="14"/>
        <v>În interval</v>
      </c>
    </row>
    <row r="317" spans="10:13">
      <c r="J317">
        <v>331</v>
      </c>
      <c r="K317">
        <v>1156</v>
      </c>
      <c r="L317" t="s">
        <v>357</v>
      </c>
      <c r="M317" t="str">
        <f t="shared" si="14"/>
        <v>În interval</v>
      </c>
    </row>
    <row r="318" spans="10:13">
      <c r="J318">
        <v>332</v>
      </c>
      <c r="K318">
        <v>4161.6400000000003</v>
      </c>
      <c r="L318" t="s">
        <v>358</v>
      </c>
      <c r="M318" t="str">
        <f t="shared" si="14"/>
        <v>În interval</v>
      </c>
    </row>
    <row r="319" spans="10:13">
      <c r="J319">
        <v>333</v>
      </c>
      <c r="K319">
        <v>2670.98</v>
      </c>
      <c r="L319" t="s">
        <v>356</v>
      </c>
      <c r="M319" t="str">
        <f t="shared" si="14"/>
        <v>În interval</v>
      </c>
    </row>
    <row r="320" spans="10:13">
      <c r="J320">
        <v>334</v>
      </c>
      <c r="K320">
        <v>2437.9</v>
      </c>
      <c r="L320" t="s">
        <v>357</v>
      </c>
      <c r="M320" t="str">
        <f t="shared" si="14"/>
        <v>În interval</v>
      </c>
    </row>
    <row r="321" spans="10:13">
      <c r="J321">
        <v>335</v>
      </c>
      <c r="K321">
        <v>2418.79</v>
      </c>
      <c r="L321" t="s">
        <v>358</v>
      </c>
      <c r="M321" t="str">
        <f t="shared" si="14"/>
        <v>În interval</v>
      </c>
    </row>
    <row r="322" spans="10:13">
      <c r="J322">
        <v>336</v>
      </c>
      <c r="K322">
        <v>1900.97</v>
      </c>
      <c r="L322" t="s">
        <v>358</v>
      </c>
      <c r="M322" t="str">
        <f t="shared" si="14"/>
        <v>În interval</v>
      </c>
    </row>
    <row r="323" spans="10:13">
      <c r="J323">
        <v>337</v>
      </c>
      <c r="K323">
        <v>376.29</v>
      </c>
      <c r="L323" t="s">
        <v>356</v>
      </c>
      <c r="M323" t="str">
        <f t="shared" ref="M323:M386" si="15">IF(OR(K323&lt;$O$9,K323&gt;$O$10),"Outlier","În interval")</f>
        <v>În interval</v>
      </c>
    </row>
    <row r="324" spans="10:13">
      <c r="J324">
        <v>338</v>
      </c>
      <c r="K324">
        <v>3558.44</v>
      </c>
      <c r="L324" t="s">
        <v>358</v>
      </c>
      <c r="M324" t="str">
        <f t="shared" si="15"/>
        <v>În interval</v>
      </c>
    </row>
    <row r="325" spans="10:13">
      <c r="J325">
        <v>339</v>
      </c>
      <c r="K325">
        <v>1932.04</v>
      </c>
      <c r="L325" t="s">
        <v>358</v>
      </c>
      <c r="M325" t="str">
        <f t="shared" si="15"/>
        <v>În interval</v>
      </c>
    </row>
    <row r="326" spans="10:13">
      <c r="J326">
        <v>340</v>
      </c>
      <c r="K326">
        <v>3715.23</v>
      </c>
      <c r="L326" t="s">
        <v>356</v>
      </c>
      <c r="M326" t="str">
        <f t="shared" si="15"/>
        <v>În interval</v>
      </c>
    </row>
    <row r="327" spans="10:13">
      <c r="J327">
        <v>341</v>
      </c>
      <c r="K327">
        <v>2998.19</v>
      </c>
      <c r="L327" t="s">
        <v>356</v>
      </c>
      <c r="M327" t="str">
        <f t="shared" si="15"/>
        <v>În interval</v>
      </c>
    </row>
    <row r="328" spans="10:13">
      <c r="J328">
        <v>342</v>
      </c>
      <c r="K328">
        <v>1010.28</v>
      </c>
      <c r="L328" t="s">
        <v>356</v>
      </c>
      <c r="M328" t="str">
        <f t="shared" si="15"/>
        <v>În interval</v>
      </c>
    </row>
    <row r="329" spans="10:13">
      <c r="J329">
        <v>343</v>
      </c>
      <c r="K329">
        <v>1332.37</v>
      </c>
      <c r="L329" t="s">
        <v>356</v>
      </c>
      <c r="M329" t="str">
        <f t="shared" si="15"/>
        <v>În interval</v>
      </c>
    </row>
    <row r="330" spans="10:13">
      <c r="J330">
        <v>344</v>
      </c>
      <c r="K330">
        <v>3680.74</v>
      </c>
      <c r="L330" t="s">
        <v>357</v>
      </c>
      <c r="M330" t="str">
        <f t="shared" si="15"/>
        <v>În interval</v>
      </c>
    </row>
    <row r="331" spans="10:13">
      <c r="J331">
        <v>345</v>
      </c>
      <c r="K331">
        <v>4389.75</v>
      </c>
      <c r="L331" t="s">
        <v>357</v>
      </c>
      <c r="M331" t="str">
        <f t="shared" si="15"/>
        <v>În interval</v>
      </c>
    </row>
    <row r="332" spans="10:13">
      <c r="J332">
        <v>346</v>
      </c>
      <c r="K332">
        <v>2221.7800000000002</v>
      </c>
      <c r="L332" t="s">
        <v>357</v>
      </c>
      <c r="M332" t="str">
        <f t="shared" si="15"/>
        <v>În interval</v>
      </c>
    </row>
    <row r="333" spans="10:13">
      <c r="J333">
        <v>347</v>
      </c>
      <c r="K333">
        <v>4368.21</v>
      </c>
      <c r="L333" t="s">
        <v>356</v>
      </c>
      <c r="M333" t="str">
        <f t="shared" si="15"/>
        <v>În interval</v>
      </c>
    </row>
    <row r="334" spans="10:13">
      <c r="J334">
        <v>348</v>
      </c>
      <c r="K334">
        <v>4081.4</v>
      </c>
      <c r="L334" t="s">
        <v>358</v>
      </c>
      <c r="M334" t="str">
        <f t="shared" si="15"/>
        <v>În interval</v>
      </c>
    </row>
    <row r="335" spans="10:13">
      <c r="J335">
        <v>349</v>
      </c>
      <c r="K335">
        <v>1305.33</v>
      </c>
      <c r="L335" t="s">
        <v>356</v>
      </c>
      <c r="M335" t="str">
        <f t="shared" si="15"/>
        <v>În interval</v>
      </c>
    </row>
    <row r="336" spans="10:13">
      <c r="J336">
        <v>350</v>
      </c>
      <c r="K336">
        <v>3234.1</v>
      </c>
      <c r="L336" t="s">
        <v>358</v>
      </c>
      <c r="M336" t="str">
        <f t="shared" si="15"/>
        <v>În interval</v>
      </c>
    </row>
    <row r="337" spans="10:13">
      <c r="J337">
        <v>351</v>
      </c>
      <c r="K337">
        <v>3750.15</v>
      </c>
      <c r="L337" t="s">
        <v>357</v>
      </c>
      <c r="M337" t="str">
        <f t="shared" si="15"/>
        <v>În interval</v>
      </c>
    </row>
    <row r="338" spans="10:13">
      <c r="J338">
        <v>352</v>
      </c>
      <c r="K338">
        <v>2999.81</v>
      </c>
      <c r="L338" t="s">
        <v>358</v>
      </c>
      <c r="M338" t="str">
        <f t="shared" si="15"/>
        <v>În interval</v>
      </c>
    </row>
    <row r="339" spans="10:13">
      <c r="J339">
        <v>353</v>
      </c>
      <c r="K339">
        <v>4759.3500000000004</v>
      </c>
      <c r="L339" t="s">
        <v>357</v>
      </c>
      <c r="M339" t="str">
        <f t="shared" si="15"/>
        <v>În interval</v>
      </c>
    </row>
    <row r="340" spans="10:13">
      <c r="J340">
        <v>354</v>
      </c>
      <c r="K340">
        <v>2369.31</v>
      </c>
      <c r="L340" t="s">
        <v>356</v>
      </c>
      <c r="M340" t="str">
        <f t="shared" si="15"/>
        <v>În interval</v>
      </c>
    </row>
    <row r="341" spans="10:13">
      <c r="J341">
        <v>355</v>
      </c>
      <c r="K341">
        <v>3592.85</v>
      </c>
      <c r="L341" t="s">
        <v>358</v>
      </c>
      <c r="M341" t="str">
        <f t="shared" si="15"/>
        <v>În interval</v>
      </c>
    </row>
    <row r="342" spans="10:13">
      <c r="J342">
        <v>356</v>
      </c>
      <c r="K342">
        <v>85.94</v>
      </c>
      <c r="L342" t="s">
        <v>357</v>
      </c>
      <c r="M342" t="str">
        <f t="shared" si="15"/>
        <v>În interval</v>
      </c>
    </row>
    <row r="343" spans="10:13">
      <c r="J343">
        <v>357</v>
      </c>
      <c r="K343">
        <v>388.83</v>
      </c>
      <c r="L343" t="s">
        <v>358</v>
      </c>
      <c r="M343" t="str">
        <f t="shared" si="15"/>
        <v>În interval</v>
      </c>
    </row>
    <row r="344" spans="10:13">
      <c r="J344">
        <v>358</v>
      </c>
      <c r="K344">
        <v>4835.71</v>
      </c>
      <c r="L344" t="s">
        <v>357</v>
      </c>
      <c r="M344" t="str">
        <f t="shared" si="15"/>
        <v>În interval</v>
      </c>
    </row>
    <row r="345" spans="10:13">
      <c r="J345">
        <v>359</v>
      </c>
      <c r="K345">
        <v>4133.21</v>
      </c>
      <c r="L345" t="s">
        <v>357</v>
      </c>
      <c r="M345" t="str">
        <f t="shared" si="15"/>
        <v>În interval</v>
      </c>
    </row>
    <row r="346" spans="10:13">
      <c r="J346">
        <v>360</v>
      </c>
      <c r="K346">
        <v>3557.89</v>
      </c>
      <c r="L346" t="s">
        <v>358</v>
      </c>
      <c r="M346" t="str">
        <f t="shared" si="15"/>
        <v>În interval</v>
      </c>
    </row>
    <row r="347" spans="10:13">
      <c r="J347">
        <v>361</v>
      </c>
      <c r="K347">
        <v>4238.5</v>
      </c>
      <c r="L347" t="s">
        <v>358</v>
      </c>
      <c r="M347" t="str">
        <f t="shared" si="15"/>
        <v>În interval</v>
      </c>
    </row>
    <row r="348" spans="10:13">
      <c r="J348">
        <v>362</v>
      </c>
      <c r="K348">
        <v>3908.21</v>
      </c>
      <c r="L348" t="s">
        <v>357</v>
      </c>
      <c r="M348" t="str">
        <f t="shared" si="15"/>
        <v>În interval</v>
      </c>
    </row>
    <row r="349" spans="10:13">
      <c r="J349">
        <v>363</v>
      </c>
      <c r="K349">
        <v>2955.63</v>
      </c>
      <c r="L349" t="s">
        <v>357</v>
      </c>
      <c r="M349" t="str">
        <f t="shared" si="15"/>
        <v>În interval</v>
      </c>
    </row>
    <row r="350" spans="10:13">
      <c r="J350">
        <v>364</v>
      </c>
      <c r="K350">
        <v>3807.01</v>
      </c>
      <c r="L350" t="s">
        <v>357</v>
      </c>
      <c r="M350" t="str">
        <f t="shared" si="15"/>
        <v>În interval</v>
      </c>
    </row>
    <row r="351" spans="10:13">
      <c r="J351">
        <v>365</v>
      </c>
      <c r="K351">
        <v>3930.35</v>
      </c>
      <c r="L351" t="s">
        <v>358</v>
      </c>
      <c r="M351" t="str">
        <f t="shared" si="15"/>
        <v>În interval</v>
      </c>
    </row>
    <row r="352" spans="10:13">
      <c r="J352">
        <v>366</v>
      </c>
      <c r="K352">
        <v>3119.04</v>
      </c>
      <c r="L352" t="s">
        <v>358</v>
      </c>
      <c r="M352" t="str">
        <f t="shared" si="15"/>
        <v>În interval</v>
      </c>
    </row>
    <row r="353" spans="10:13">
      <c r="J353">
        <v>367</v>
      </c>
      <c r="K353">
        <v>677.21</v>
      </c>
      <c r="L353" t="s">
        <v>356</v>
      </c>
      <c r="M353" t="str">
        <f t="shared" si="15"/>
        <v>În interval</v>
      </c>
    </row>
    <row r="354" spans="10:13">
      <c r="J354">
        <v>368</v>
      </c>
      <c r="K354">
        <v>1871.64</v>
      </c>
      <c r="L354" t="s">
        <v>358</v>
      </c>
      <c r="M354" t="str">
        <f t="shared" si="15"/>
        <v>În interval</v>
      </c>
    </row>
    <row r="355" spans="10:13">
      <c r="J355">
        <v>369</v>
      </c>
      <c r="K355">
        <v>2230.79</v>
      </c>
      <c r="L355" t="s">
        <v>356</v>
      </c>
      <c r="M355" t="str">
        <f t="shared" si="15"/>
        <v>În interval</v>
      </c>
    </row>
    <row r="356" spans="10:13">
      <c r="J356">
        <v>370</v>
      </c>
      <c r="K356">
        <v>3886.36</v>
      </c>
      <c r="L356" t="s">
        <v>358</v>
      </c>
      <c r="M356" t="str">
        <f t="shared" si="15"/>
        <v>În interval</v>
      </c>
    </row>
    <row r="357" spans="10:13">
      <c r="J357">
        <v>371</v>
      </c>
      <c r="K357">
        <v>4791.97</v>
      </c>
      <c r="L357" t="s">
        <v>358</v>
      </c>
      <c r="M357" t="str">
        <f t="shared" si="15"/>
        <v>În interval</v>
      </c>
    </row>
    <row r="358" spans="10:13">
      <c r="J358">
        <v>372</v>
      </c>
      <c r="K358">
        <v>623.66</v>
      </c>
      <c r="L358" t="s">
        <v>358</v>
      </c>
      <c r="M358" t="str">
        <f t="shared" si="15"/>
        <v>În interval</v>
      </c>
    </row>
    <row r="359" spans="10:13">
      <c r="J359">
        <v>373</v>
      </c>
      <c r="K359">
        <v>3675.75</v>
      </c>
      <c r="L359" t="s">
        <v>357</v>
      </c>
      <c r="M359" t="str">
        <f t="shared" si="15"/>
        <v>În interval</v>
      </c>
    </row>
    <row r="360" spans="10:13">
      <c r="J360">
        <v>374</v>
      </c>
      <c r="K360">
        <v>2467.38</v>
      </c>
      <c r="L360" t="s">
        <v>356</v>
      </c>
      <c r="M360" t="str">
        <f t="shared" si="15"/>
        <v>În interval</v>
      </c>
    </row>
    <row r="361" spans="10:13">
      <c r="J361">
        <v>375</v>
      </c>
      <c r="K361">
        <v>2426.71</v>
      </c>
      <c r="L361" t="s">
        <v>357</v>
      </c>
      <c r="M361" t="str">
        <f t="shared" si="15"/>
        <v>În interval</v>
      </c>
    </row>
    <row r="362" spans="10:13">
      <c r="J362">
        <v>376</v>
      </c>
      <c r="K362">
        <v>678.48</v>
      </c>
      <c r="L362" t="s">
        <v>356</v>
      </c>
      <c r="M362" t="str">
        <f t="shared" si="15"/>
        <v>În interval</v>
      </c>
    </row>
    <row r="363" spans="10:13">
      <c r="J363">
        <v>377</v>
      </c>
      <c r="K363">
        <v>4129.29</v>
      </c>
      <c r="L363" t="s">
        <v>358</v>
      </c>
      <c r="M363" t="str">
        <f t="shared" si="15"/>
        <v>În interval</v>
      </c>
    </row>
    <row r="364" spans="10:13">
      <c r="J364">
        <v>378</v>
      </c>
      <c r="K364">
        <v>2065.62</v>
      </c>
      <c r="L364" t="s">
        <v>357</v>
      </c>
      <c r="M364" t="str">
        <f t="shared" si="15"/>
        <v>În interval</v>
      </c>
    </row>
    <row r="365" spans="10:13">
      <c r="J365">
        <v>379</v>
      </c>
      <c r="K365">
        <v>4508.6499999999996</v>
      </c>
      <c r="L365" t="s">
        <v>356</v>
      </c>
      <c r="M365" t="str">
        <f t="shared" si="15"/>
        <v>În interval</v>
      </c>
    </row>
    <row r="366" spans="10:13">
      <c r="J366">
        <v>380</v>
      </c>
      <c r="K366">
        <v>4421.47</v>
      </c>
      <c r="L366" t="s">
        <v>356</v>
      </c>
      <c r="M366" t="str">
        <f t="shared" si="15"/>
        <v>În interval</v>
      </c>
    </row>
    <row r="367" spans="10:13">
      <c r="J367">
        <v>381</v>
      </c>
      <c r="K367">
        <v>1770.83</v>
      </c>
      <c r="L367" t="s">
        <v>356</v>
      </c>
      <c r="M367" t="str">
        <f t="shared" si="15"/>
        <v>În interval</v>
      </c>
    </row>
    <row r="368" spans="10:13">
      <c r="J368">
        <v>382</v>
      </c>
      <c r="K368">
        <v>3526.88</v>
      </c>
      <c r="L368" t="s">
        <v>357</v>
      </c>
      <c r="M368" t="str">
        <f t="shared" si="15"/>
        <v>În interval</v>
      </c>
    </row>
    <row r="369" spans="10:13">
      <c r="J369">
        <v>383</v>
      </c>
      <c r="K369">
        <v>1787.32</v>
      </c>
      <c r="L369" t="s">
        <v>356</v>
      </c>
      <c r="M369" t="str">
        <f t="shared" si="15"/>
        <v>În interval</v>
      </c>
    </row>
    <row r="370" spans="10:13">
      <c r="J370">
        <v>384</v>
      </c>
      <c r="K370">
        <v>474.23</v>
      </c>
      <c r="L370" t="s">
        <v>358</v>
      </c>
      <c r="M370" t="str">
        <f t="shared" si="15"/>
        <v>În interval</v>
      </c>
    </row>
    <row r="371" spans="10:13">
      <c r="J371">
        <v>385</v>
      </c>
      <c r="K371">
        <v>246.52</v>
      </c>
      <c r="L371" t="s">
        <v>357</v>
      </c>
      <c r="M371" t="str">
        <f t="shared" si="15"/>
        <v>În interval</v>
      </c>
    </row>
    <row r="372" spans="10:13">
      <c r="J372">
        <v>386</v>
      </c>
      <c r="K372">
        <v>2420.31</v>
      </c>
      <c r="L372" t="s">
        <v>356</v>
      </c>
      <c r="M372" t="str">
        <f t="shared" si="15"/>
        <v>În interval</v>
      </c>
    </row>
    <row r="373" spans="10:13">
      <c r="J373">
        <v>387</v>
      </c>
      <c r="K373">
        <v>2260.04</v>
      </c>
      <c r="L373" t="s">
        <v>358</v>
      </c>
      <c r="M373" t="str">
        <f t="shared" si="15"/>
        <v>În interval</v>
      </c>
    </row>
    <row r="374" spans="10:13">
      <c r="J374">
        <v>388</v>
      </c>
      <c r="K374">
        <v>4667.68</v>
      </c>
      <c r="L374" t="s">
        <v>357</v>
      </c>
      <c r="M374" t="str">
        <f t="shared" si="15"/>
        <v>În interval</v>
      </c>
    </row>
    <row r="375" spans="10:13">
      <c r="J375">
        <v>389</v>
      </c>
      <c r="K375">
        <v>3947.77</v>
      </c>
      <c r="L375" t="s">
        <v>356</v>
      </c>
      <c r="M375" t="str">
        <f t="shared" si="15"/>
        <v>În interval</v>
      </c>
    </row>
    <row r="376" spans="10:13">
      <c r="J376">
        <v>390</v>
      </c>
      <c r="K376">
        <v>2566.64</v>
      </c>
      <c r="L376" t="s">
        <v>358</v>
      </c>
      <c r="M376" t="str">
        <f t="shared" si="15"/>
        <v>În interval</v>
      </c>
    </row>
    <row r="377" spans="10:13">
      <c r="J377">
        <v>391</v>
      </c>
      <c r="K377">
        <v>1127.72</v>
      </c>
      <c r="L377" t="s">
        <v>358</v>
      </c>
      <c r="M377" t="str">
        <f t="shared" si="15"/>
        <v>În interval</v>
      </c>
    </row>
    <row r="378" spans="10:13">
      <c r="J378">
        <v>392</v>
      </c>
      <c r="K378">
        <v>4925.41</v>
      </c>
      <c r="L378" t="s">
        <v>356</v>
      </c>
      <c r="M378" t="str">
        <f t="shared" si="15"/>
        <v>În interval</v>
      </c>
    </row>
    <row r="379" spans="10:13">
      <c r="J379">
        <v>393</v>
      </c>
      <c r="K379">
        <v>2118.86</v>
      </c>
      <c r="L379" t="s">
        <v>357</v>
      </c>
      <c r="M379" t="str">
        <f t="shared" si="15"/>
        <v>În interval</v>
      </c>
    </row>
    <row r="380" spans="10:13">
      <c r="J380">
        <v>394</v>
      </c>
      <c r="K380">
        <v>4322.82</v>
      </c>
      <c r="L380" t="s">
        <v>357</v>
      </c>
      <c r="M380" t="str">
        <f t="shared" si="15"/>
        <v>În interval</v>
      </c>
    </row>
    <row r="381" spans="10:13">
      <c r="J381">
        <v>395</v>
      </c>
      <c r="K381">
        <v>2945.25</v>
      </c>
      <c r="L381" t="s">
        <v>358</v>
      </c>
      <c r="M381" t="str">
        <f t="shared" si="15"/>
        <v>În interval</v>
      </c>
    </row>
    <row r="382" spans="10:13">
      <c r="J382">
        <v>396</v>
      </c>
      <c r="K382">
        <v>4050.75</v>
      </c>
      <c r="L382" t="s">
        <v>356</v>
      </c>
      <c r="M382" t="str">
        <f t="shared" si="15"/>
        <v>În interval</v>
      </c>
    </row>
    <row r="383" spans="10:13">
      <c r="J383">
        <v>397</v>
      </c>
      <c r="K383">
        <v>3448.14</v>
      </c>
      <c r="L383" t="s">
        <v>356</v>
      </c>
      <c r="M383" t="str">
        <f t="shared" si="15"/>
        <v>În interval</v>
      </c>
    </row>
    <row r="384" spans="10:13">
      <c r="J384">
        <v>398</v>
      </c>
      <c r="K384">
        <v>2780.21</v>
      </c>
      <c r="L384" t="s">
        <v>358</v>
      </c>
      <c r="M384" t="str">
        <f t="shared" si="15"/>
        <v>În interval</v>
      </c>
    </row>
    <row r="385" spans="10:13">
      <c r="J385">
        <v>399</v>
      </c>
      <c r="K385">
        <v>4132.88</v>
      </c>
      <c r="L385" t="s">
        <v>358</v>
      </c>
      <c r="M385" t="str">
        <f t="shared" si="15"/>
        <v>În interval</v>
      </c>
    </row>
    <row r="386" spans="10:13">
      <c r="J386">
        <v>400</v>
      </c>
      <c r="K386">
        <v>2733.98</v>
      </c>
      <c r="L386" t="s">
        <v>358</v>
      </c>
      <c r="M386" t="str">
        <f t="shared" si="15"/>
        <v>În interval</v>
      </c>
    </row>
    <row r="387" spans="10:13">
      <c r="J387">
        <v>401</v>
      </c>
      <c r="K387">
        <v>1155.6199999999999</v>
      </c>
      <c r="L387" t="s">
        <v>356</v>
      </c>
      <c r="M387" t="str">
        <f t="shared" ref="M387:M450" si="16">IF(OR(K387&lt;$O$9,K387&gt;$O$10),"Outlier","În interval")</f>
        <v>În interval</v>
      </c>
    </row>
    <row r="388" spans="10:13">
      <c r="J388">
        <v>402</v>
      </c>
      <c r="K388">
        <v>692.38</v>
      </c>
      <c r="L388" t="s">
        <v>358</v>
      </c>
      <c r="M388" t="str">
        <f t="shared" si="16"/>
        <v>În interval</v>
      </c>
    </row>
    <row r="389" spans="10:13">
      <c r="J389">
        <v>403</v>
      </c>
      <c r="K389">
        <v>1855.41</v>
      </c>
      <c r="L389" t="s">
        <v>358</v>
      </c>
      <c r="M389" t="str">
        <f t="shared" si="16"/>
        <v>În interval</v>
      </c>
    </row>
    <row r="390" spans="10:13">
      <c r="J390">
        <v>404</v>
      </c>
      <c r="K390">
        <v>451.59</v>
      </c>
      <c r="L390" t="s">
        <v>356</v>
      </c>
      <c r="M390" t="str">
        <f t="shared" si="16"/>
        <v>În interval</v>
      </c>
    </row>
    <row r="391" spans="10:13">
      <c r="J391">
        <v>405</v>
      </c>
      <c r="K391">
        <v>1409.45</v>
      </c>
      <c r="L391" t="s">
        <v>358</v>
      </c>
      <c r="M391" t="str">
        <f t="shared" si="16"/>
        <v>În interval</v>
      </c>
    </row>
    <row r="392" spans="10:13">
      <c r="J392">
        <v>406</v>
      </c>
      <c r="K392">
        <v>4437.26</v>
      </c>
      <c r="L392" t="s">
        <v>358</v>
      </c>
      <c r="M392" t="str">
        <f t="shared" si="16"/>
        <v>În interval</v>
      </c>
    </row>
    <row r="393" spans="10:13">
      <c r="J393">
        <v>407</v>
      </c>
      <c r="K393">
        <v>341.56</v>
      </c>
      <c r="L393" t="s">
        <v>358</v>
      </c>
      <c r="M393" t="str">
        <f t="shared" si="16"/>
        <v>În interval</v>
      </c>
    </row>
    <row r="394" spans="10:13">
      <c r="J394">
        <v>408</v>
      </c>
      <c r="K394">
        <v>2580.5300000000002</v>
      </c>
      <c r="L394" t="s">
        <v>357</v>
      </c>
      <c r="M394" t="str">
        <f t="shared" si="16"/>
        <v>În interval</v>
      </c>
    </row>
    <row r="395" spans="10:13">
      <c r="J395">
        <v>409</v>
      </c>
      <c r="K395">
        <v>2732</v>
      </c>
      <c r="L395" t="s">
        <v>357</v>
      </c>
      <c r="M395" t="str">
        <f t="shared" si="16"/>
        <v>În interval</v>
      </c>
    </row>
    <row r="396" spans="10:13">
      <c r="J396">
        <v>410</v>
      </c>
      <c r="K396">
        <v>247.93</v>
      </c>
      <c r="L396" t="s">
        <v>357</v>
      </c>
      <c r="M396" t="str">
        <f t="shared" si="16"/>
        <v>În interval</v>
      </c>
    </row>
    <row r="397" spans="10:13">
      <c r="J397">
        <v>411</v>
      </c>
      <c r="K397">
        <v>3074.39</v>
      </c>
      <c r="L397" t="s">
        <v>356</v>
      </c>
      <c r="M397" t="str">
        <f t="shared" si="16"/>
        <v>În interval</v>
      </c>
    </row>
    <row r="398" spans="10:13">
      <c r="J398">
        <v>412</v>
      </c>
      <c r="K398">
        <v>260.32</v>
      </c>
      <c r="L398" t="s">
        <v>357</v>
      </c>
      <c r="M398" t="str">
        <f t="shared" si="16"/>
        <v>În interval</v>
      </c>
    </row>
    <row r="399" spans="10:13">
      <c r="J399">
        <v>413</v>
      </c>
      <c r="K399">
        <v>1351.21</v>
      </c>
      <c r="L399" t="s">
        <v>357</v>
      </c>
      <c r="M399" t="str">
        <f t="shared" si="16"/>
        <v>În interval</v>
      </c>
    </row>
    <row r="400" spans="10:13">
      <c r="J400">
        <v>414</v>
      </c>
      <c r="K400">
        <v>2421.4699999999998</v>
      </c>
      <c r="L400" t="s">
        <v>357</v>
      </c>
      <c r="M400" t="str">
        <f t="shared" si="16"/>
        <v>În interval</v>
      </c>
    </row>
    <row r="401" spans="10:13">
      <c r="J401">
        <v>415</v>
      </c>
      <c r="K401">
        <v>695.85</v>
      </c>
      <c r="L401" t="s">
        <v>356</v>
      </c>
      <c r="M401" t="str">
        <f t="shared" si="16"/>
        <v>În interval</v>
      </c>
    </row>
    <row r="402" spans="10:13">
      <c r="J402">
        <v>416</v>
      </c>
      <c r="K402">
        <v>2143.19</v>
      </c>
      <c r="L402" t="s">
        <v>358</v>
      </c>
      <c r="M402" t="str">
        <f t="shared" si="16"/>
        <v>În interval</v>
      </c>
    </row>
    <row r="403" spans="10:13">
      <c r="J403">
        <v>417</v>
      </c>
      <c r="K403">
        <v>2991.75</v>
      </c>
      <c r="L403" t="s">
        <v>358</v>
      </c>
      <c r="M403" t="str">
        <f t="shared" si="16"/>
        <v>În interval</v>
      </c>
    </row>
    <row r="404" spans="10:13">
      <c r="J404">
        <v>418</v>
      </c>
      <c r="K404">
        <v>1550.74</v>
      </c>
      <c r="L404" t="s">
        <v>356</v>
      </c>
      <c r="M404" t="str">
        <f t="shared" si="16"/>
        <v>În interval</v>
      </c>
    </row>
    <row r="405" spans="10:13">
      <c r="J405">
        <v>419</v>
      </c>
      <c r="K405">
        <v>3307.15</v>
      </c>
      <c r="L405" t="s">
        <v>356</v>
      </c>
      <c r="M405" t="str">
        <f t="shared" si="16"/>
        <v>În interval</v>
      </c>
    </row>
    <row r="406" spans="10:13">
      <c r="J406">
        <v>420</v>
      </c>
      <c r="K406">
        <v>3766.41</v>
      </c>
      <c r="L406" t="s">
        <v>358</v>
      </c>
      <c r="M406" t="str">
        <f t="shared" si="16"/>
        <v>În interval</v>
      </c>
    </row>
    <row r="407" spans="10:13">
      <c r="J407">
        <v>421</v>
      </c>
      <c r="K407">
        <v>3289.33</v>
      </c>
      <c r="L407" t="s">
        <v>357</v>
      </c>
      <c r="M407" t="str">
        <f t="shared" si="16"/>
        <v>În interval</v>
      </c>
    </row>
    <row r="408" spans="10:13">
      <c r="J408">
        <v>422</v>
      </c>
      <c r="K408">
        <v>514.45000000000005</v>
      </c>
      <c r="L408" t="s">
        <v>356</v>
      </c>
      <c r="M408" t="str">
        <f t="shared" si="16"/>
        <v>În interval</v>
      </c>
    </row>
    <row r="409" spans="10:13">
      <c r="J409">
        <v>423</v>
      </c>
      <c r="K409">
        <v>3269.06</v>
      </c>
      <c r="L409" t="s">
        <v>356</v>
      </c>
      <c r="M409" t="str">
        <f t="shared" si="16"/>
        <v>În interval</v>
      </c>
    </row>
    <row r="410" spans="10:13">
      <c r="J410">
        <v>424</v>
      </c>
      <c r="K410">
        <v>483.58</v>
      </c>
      <c r="L410" t="s">
        <v>357</v>
      </c>
      <c r="M410" t="str">
        <f t="shared" si="16"/>
        <v>În interval</v>
      </c>
    </row>
    <row r="411" spans="10:13">
      <c r="J411">
        <v>425</v>
      </c>
      <c r="K411">
        <v>718.81</v>
      </c>
      <c r="L411" t="s">
        <v>357</v>
      </c>
      <c r="M411" t="str">
        <f t="shared" si="16"/>
        <v>În interval</v>
      </c>
    </row>
    <row r="412" spans="10:13">
      <c r="J412">
        <v>426</v>
      </c>
      <c r="K412">
        <v>4469.41</v>
      </c>
      <c r="L412" t="s">
        <v>357</v>
      </c>
      <c r="M412" t="str">
        <f t="shared" si="16"/>
        <v>În interval</v>
      </c>
    </row>
    <row r="413" spans="10:13">
      <c r="J413">
        <v>427</v>
      </c>
      <c r="K413">
        <v>4267.38</v>
      </c>
      <c r="L413" t="s">
        <v>356</v>
      </c>
      <c r="M413" t="str">
        <f t="shared" si="16"/>
        <v>În interval</v>
      </c>
    </row>
    <row r="414" spans="10:13">
      <c r="J414">
        <v>428</v>
      </c>
      <c r="K414">
        <v>2911.74</v>
      </c>
      <c r="L414" t="s">
        <v>357</v>
      </c>
      <c r="M414" t="str">
        <f t="shared" si="16"/>
        <v>În interval</v>
      </c>
    </row>
    <row r="415" spans="10:13">
      <c r="J415">
        <v>429</v>
      </c>
      <c r="K415">
        <v>4064.18</v>
      </c>
      <c r="L415" t="s">
        <v>358</v>
      </c>
      <c r="M415" t="str">
        <f t="shared" si="16"/>
        <v>În interval</v>
      </c>
    </row>
    <row r="416" spans="10:13">
      <c r="J416">
        <v>430</v>
      </c>
      <c r="K416">
        <v>3296.15</v>
      </c>
      <c r="L416" t="s">
        <v>357</v>
      </c>
      <c r="M416" t="str">
        <f t="shared" si="16"/>
        <v>În interval</v>
      </c>
    </row>
    <row r="417" spans="10:13">
      <c r="J417">
        <v>431</v>
      </c>
      <c r="K417">
        <v>4612.97</v>
      </c>
      <c r="L417" t="s">
        <v>358</v>
      </c>
      <c r="M417" t="str">
        <f t="shared" si="16"/>
        <v>În interval</v>
      </c>
    </row>
    <row r="418" spans="10:13">
      <c r="J418">
        <v>432</v>
      </c>
      <c r="K418">
        <v>2337.4699999999998</v>
      </c>
      <c r="L418" t="s">
        <v>357</v>
      </c>
      <c r="M418" t="str">
        <f t="shared" si="16"/>
        <v>În interval</v>
      </c>
    </row>
    <row r="419" spans="10:13">
      <c r="J419">
        <v>433</v>
      </c>
      <c r="K419">
        <v>3900.33</v>
      </c>
      <c r="L419" t="s">
        <v>356</v>
      </c>
      <c r="M419" t="str">
        <f t="shared" si="16"/>
        <v>În interval</v>
      </c>
    </row>
    <row r="420" spans="10:13">
      <c r="J420">
        <v>434</v>
      </c>
      <c r="K420">
        <v>4191.62</v>
      </c>
      <c r="L420" t="s">
        <v>356</v>
      </c>
      <c r="M420" t="str">
        <f t="shared" si="16"/>
        <v>În interval</v>
      </c>
    </row>
    <row r="421" spans="10:13">
      <c r="J421">
        <v>435</v>
      </c>
      <c r="K421">
        <v>701.2</v>
      </c>
      <c r="L421" t="s">
        <v>356</v>
      </c>
      <c r="M421" t="str">
        <f t="shared" si="16"/>
        <v>În interval</v>
      </c>
    </row>
    <row r="422" spans="10:13">
      <c r="J422">
        <v>436</v>
      </c>
      <c r="K422">
        <v>638.38</v>
      </c>
      <c r="L422" t="s">
        <v>357</v>
      </c>
      <c r="M422" t="str">
        <f t="shared" si="16"/>
        <v>În interval</v>
      </c>
    </row>
    <row r="423" spans="10:13">
      <c r="J423">
        <v>437</v>
      </c>
      <c r="K423">
        <v>2351.9</v>
      </c>
      <c r="L423" t="s">
        <v>358</v>
      </c>
      <c r="M423" t="str">
        <f t="shared" si="16"/>
        <v>În interval</v>
      </c>
    </row>
    <row r="424" spans="10:13">
      <c r="J424">
        <v>438</v>
      </c>
      <c r="K424">
        <v>3151.66</v>
      </c>
      <c r="L424" t="s">
        <v>358</v>
      </c>
      <c r="M424" t="str">
        <f t="shared" si="16"/>
        <v>În interval</v>
      </c>
    </row>
    <row r="425" spans="10:13">
      <c r="J425">
        <v>439</v>
      </c>
      <c r="K425">
        <v>2887.39</v>
      </c>
      <c r="L425" t="s">
        <v>357</v>
      </c>
      <c r="M425" t="str">
        <f t="shared" si="16"/>
        <v>În interval</v>
      </c>
    </row>
    <row r="426" spans="10:13">
      <c r="J426">
        <v>440</v>
      </c>
      <c r="K426">
        <v>3059.64</v>
      </c>
      <c r="L426" t="s">
        <v>356</v>
      </c>
      <c r="M426" t="str">
        <f t="shared" si="16"/>
        <v>În interval</v>
      </c>
    </row>
    <row r="427" spans="10:13">
      <c r="J427">
        <v>441</v>
      </c>
      <c r="K427">
        <v>179.62</v>
      </c>
      <c r="L427" t="s">
        <v>358</v>
      </c>
      <c r="M427" t="str">
        <f t="shared" si="16"/>
        <v>În interval</v>
      </c>
    </row>
    <row r="428" spans="10:13">
      <c r="J428">
        <v>442</v>
      </c>
      <c r="K428">
        <v>349.65</v>
      </c>
      <c r="L428" t="s">
        <v>358</v>
      </c>
      <c r="M428" t="str">
        <f t="shared" si="16"/>
        <v>În interval</v>
      </c>
    </row>
    <row r="429" spans="10:13">
      <c r="J429">
        <v>443</v>
      </c>
      <c r="K429">
        <v>3527.85</v>
      </c>
      <c r="L429" t="s">
        <v>356</v>
      </c>
      <c r="M429" t="str">
        <f t="shared" si="16"/>
        <v>În interval</v>
      </c>
    </row>
    <row r="430" spans="10:13">
      <c r="J430">
        <v>444</v>
      </c>
      <c r="K430">
        <v>2363.5100000000002</v>
      </c>
      <c r="L430" t="s">
        <v>357</v>
      </c>
      <c r="M430" t="str">
        <f t="shared" si="16"/>
        <v>În interval</v>
      </c>
    </row>
    <row r="431" spans="10:13">
      <c r="J431">
        <v>445</v>
      </c>
      <c r="K431">
        <v>3799.41</v>
      </c>
      <c r="L431" t="s">
        <v>356</v>
      </c>
      <c r="M431" t="str">
        <f t="shared" si="16"/>
        <v>În interval</v>
      </c>
    </row>
    <row r="432" spans="10:13">
      <c r="J432">
        <v>446</v>
      </c>
      <c r="K432">
        <v>100.38</v>
      </c>
      <c r="L432" t="s">
        <v>357</v>
      </c>
      <c r="M432" t="str">
        <f t="shared" si="16"/>
        <v>În interval</v>
      </c>
    </row>
    <row r="433" spans="10:13">
      <c r="J433">
        <v>447</v>
      </c>
      <c r="K433">
        <v>333.84</v>
      </c>
      <c r="L433" t="s">
        <v>356</v>
      </c>
      <c r="M433" t="str">
        <f t="shared" si="16"/>
        <v>În interval</v>
      </c>
    </row>
    <row r="434" spans="10:13">
      <c r="J434">
        <v>448</v>
      </c>
      <c r="K434">
        <v>4718.8999999999996</v>
      </c>
      <c r="L434" t="s">
        <v>357</v>
      </c>
      <c r="M434" t="str">
        <f t="shared" si="16"/>
        <v>În interval</v>
      </c>
    </row>
    <row r="435" spans="10:13">
      <c r="J435">
        <v>449</v>
      </c>
      <c r="K435">
        <v>158.01</v>
      </c>
      <c r="L435" t="s">
        <v>358</v>
      </c>
      <c r="M435" t="str">
        <f t="shared" si="16"/>
        <v>În interval</v>
      </c>
    </row>
    <row r="436" spans="10:13">
      <c r="J436">
        <v>450</v>
      </c>
      <c r="K436">
        <v>262.08999999999997</v>
      </c>
      <c r="L436" t="s">
        <v>357</v>
      </c>
      <c r="M436" t="str">
        <f t="shared" si="16"/>
        <v>În interval</v>
      </c>
    </row>
    <row r="437" spans="10:13">
      <c r="J437">
        <v>451</v>
      </c>
      <c r="K437">
        <v>4240.82</v>
      </c>
      <c r="L437" t="s">
        <v>357</v>
      </c>
      <c r="M437" t="str">
        <f t="shared" si="16"/>
        <v>În interval</v>
      </c>
    </row>
    <row r="438" spans="10:13">
      <c r="J438">
        <v>452</v>
      </c>
      <c r="K438">
        <v>3485.01</v>
      </c>
      <c r="L438" t="s">
        <v>358</v>
      </c>
      <c r="M438" t="str">
        <f t="shared" si="16"/>
        <v>În interval</v>
      </c>
    </row>
    <row r="439" spans="10:13">
      <c r="J439">
        <v>453</v>
      </c>
      <c r="K439">
        <v>2556.27</v>
      </c>
      <c r="L439" t="s">
        <v>356</v>
      </c>
      <c r="M439" t="str">
        <f t="shared" si="16"/>
        <v>În interval</v>
      </c>
    </row>
    <row r="440" spans="10:13">
      <c r="J440">
        <v>454</v>
      </c>
      <c r="K440">
        <v>3067.74</v>
      </c>
      <c r="L440" t="s">
        <v>356</v>
      </c>
      <c r="M440" t="str">
        <f t="shared" si="16"/>
        <v>În interval</v>
      </c>
    </row>
    <row r="441" spans="10:13">
      <c r="J441">
        <v>455</v>
      </c>
      <c r="K441">
        <v>1911.81</v>
      </c>
      <c r="L441" t="s">
        <v>358</v>
      </c>
      <c r="M441" t="str">
        <f t="shared" si="16"/>
        <v>În interval</v>
      </c>
    </row>
    <row r="442" spans="10:13">
      <c r="J442">
        <v>456</v>
      </c>
      <c r="K442">
        <v>4811.8599999999997</v>
      </c>
      <c r="L442" t="s">
        <v>358</v>
      </c>
      <c r="M442" t="str">
        <f t="shared" si="16"/>
        <v>În interval</v>
      </c>
    </row>
    <row r="443" spans="10:13">
      <c r="J443">
        <v>457</v>
      </c>
      <c r="K443">
        <v>4409.28</v>
      </c>
      <c r="L443" t="s">
        <v>356</v>
      </c>
      <c r="M443" t="str">
        <f t="shared" si="16"/>
        <v>În interval</v>
      </c>
    </row>
    <row r="444" spans="10:13">
      <c r="J444">
        <v>458</v>
      </c>
      <c r="K444">
        <v>472.98</v>
      </c>
      <c r="L444" t="s">
        <v>356</v>
      </c>
      <c r="M444" t="str">
        <f t="shared" si="16"/>
        <v>În interval</v>
      </c>
    </row>
    <row r="445" spans="10:13">
      <c r="J445">
        <v>459</v>
      </c>
      <c r="K445">
        <v>4038.18</v>
      </c>
      <c r="L445" t="s">
        <v>357</v>
      </c>
      <c r="M445" t="str">
        <f t="shared" si="16"/>
        <v>În interval</v>
      </c>
    </row>
    <row r="446" spans="10:13">
      <c r="J446">
        <v>460</v>
      </c>
      <c r="K446">
        <v>313.36</v>
      </c>
      <c r="L446" t="s">
        <v>358</v>
      </c>
      <c r="M446" t="str">
        <f t="shared" si="16"/>
        <v>În interval</v>
      </c>
    </row>
    <row r="447" spans="10:13">
      <c r="J447">
        <v>461</v>
      </c>
      <c r="K447">
        <v>4622.04</v>
      </c>
      <c r="L447" t="s">
        <v>358</v>
      </c>
      <c r="M447" t="str">
        <f t="shared" si="16"/>
        <v>În interval</v>
      </c>
    </row>
    <row r="448" spans="10:13">
      <c r="J448">
        <v>462</v>
      </c>
      <c r="K448">
        <v>1639.75</v>
      </c>
      <c r="L448" t="s">
        <v>356</v>
      </c>
      <c r="M448" t="str">
        <f t="shared" si="16"/>
        <v>În interval</v>
      </c>
    </row>
    <row r="449" spans="10:13">
      <c r="J449">
        <v>463</v>
      </c>
      <c r="K449">
        <v>4578.68</v>
      </c>
      <c r="L449" t="s">
        <v>358</v>
      </c>
      <c r="M449" t="str">
        <f t="shared" si="16"/>
        <v>În interval</v>
      </c>
    </row>
    <row r="450" spans="10:13">
      <c r="J450">
        <v>464</v>
      </c>
      <c r="K450">
        <v>2844.08</v>
      </c>
      <c r="L450" t="s">
        <v>356</v>
      </c>
      <c r="M450" t="str">
        <f t="shared" si="16"/>
        <v>În interval</v>
      </c>
    </row>
    <row r="451" spans="10:13">
      <c r="J451">
        <v>465</v>
      </c>
      <c r="K451">
        <v>4801.96</v>
      </c>
      <c r="L451" t="s">
        <v>356</v>
      </c>
      <c r="M451" t="str">
        <f t="shared" ref="M451:M514" si="17">IF(OR(K451&lt;$O$9,K451&gt;$O$10),"Outlier","În interval")</f>
        <v>În interval</v>
      </c>
    </row>
    <row r="452" spans="10:13">
      <c r="J452">
        <v>466</v>
      </c>
      <c r="K452">
        <v>1149.6500000000001</v>
      </c>
      <c r="L452" t="s">
        <v>356</v>
      </c>
      <c r="M452" t="str">
        <f t="shared" si="17"/>
        <v>În interval</v>
      </c>
    </row>
    <row r="453" spans="10:13">
      <c r="J453">
        <v>467</v>
      </c>
      <c r="K453">
        <v>3013.57</v>
      </c>
      <c r="L453" t="s">
        <v>358</v>
      </c>
      <c r="M453" t="str">
        <f t="shared" si="17"/>
        <v>În interval</v>
      </c>
    </row>
    <row r="454" spans="10:13">
      <c r="J454">
        <v>468</v>
      </c>
      <c r="K454">
        <v>4624.1899999999996</v>
      </c>
      <c r="L454" t="s">
        <v>356</v>
      </c>
      <c r="M454" t="str">
        <f t="shared" si="17"/>
        <v>În interval</v>
      </c>
    </row>
    <row r="455" spans="10:13">
      <c r="J455">
        <v>469</v>
      </c>
      <c r="K455">
        <v>1310.72</v>
      </c>
      <c r="L455" t="s">
        <v>356</v>
      </c>
      <c r="M455" t="str">
        <f t="shared" si="17"/>
        <v>În interval</v>
      </c>
    </row>
    <row r="456" spans="10:13">
      <c r="J456">
        <v>470</v>
      </c>
      <c r="K456">
        <v>830.31</v>
      </c>
      <c r="L456" t="s">
        <v>358</v>
      </c>
      <c r="M456" t="str">
        <f t="shared" si="17"/>
        <v>În interval</v>
      </c>
    </row>
    <row r="457" spans="10:13">
      <c r="J457">
        <v>471</v>
      </c>
      <c r="K457">
        <v>1712.52</v>
      </c>
      <c r="L457" t="s">
        <v>356</v>
      </c>
      <c r="M457" t="str">
        <f t="shared" si="17"/>
        <v>În interval</v>
      </c>
    </row>
    <row r="458" spans="10:13">
      <c r="J458">
        <v>472</v>
      </c>
      <c r="K458">
        <v>2859.63</v>
      </c>
      <c r="L458" t="s">
        <v>356</v>
      </c>
      <c r="M458" t="str">
        <f t="shared" si="17"/>
        <v>În interval</v>
      </c>
    </row>
    <row r="459" spans="10:13">
      <c r="J459">
        <v>473</v>
      </c>
      <c r="K459">
        <v>1097.3399999999999</v>
      </c>
      <c r="L459" t="s">
        <v>356</v>
      </c>
      <c r="M459" t="str">
        <f t="shared" si="17"/>
        <v>În interval</v>
      </c>
    </row>
    <row r="460" spans="10:13">
      <c r="J460">
        <v>474</v>
      </c>
      <c r="K460">
        <v>2667.75</v>
      </c>
      <c r="L460" t="s">
        <v>356</v>
      </c>
      <c r="M460" t="str">
        <f t="shared" si="17"/>
        <v>În interval</v>
      </c>
    </row>
    <row r="461" spans="10:13">
      <c r="J461">
        <v>475</v>
      </c>
      <c r="K461">
        <v>4827.5200000000004</v>
      </c>
      <c r="L461" t="s">
        <v>358</v>
      </c>
      <c r="M461" t="str">
        <f t="shared" si="17"/>
        <v>În interval</v>
      </c>
    </row>
    <row r="462" spans="10:13">
      <c r="J462">
        <v>476</v>
      </c>
      <c r="K462">
        <v>1038.03</v>
      </c>
      <c r="L462" t="s">
        <v>356</v>
      </c>
      <c r="M462" t="str">
        <f t="shared" si="17"/>
        <v>În interval</v>
      </c>
    </row>
    <row r="463" spans="10:13">
      <c r="J463">
        <v>477</v>
      </c>
      <c r="K463">
        <v>3699.44</v>
      </c>
      <c r="L463" t="s">
        <v>356</v>
      </c>
      <c r="M463" t="str">
        <f t="shared" si="17"/>
        <v>În interval</v>
      </c>
    </row>
    <row r="464" spans="10:13">
      <c r="J464">
        <v>478</v>
      </c>
      <c r="K464">
        <v>655.45</v>
      </c>
      <c r="L464" t="s">
        <v>357</v>
      </c>
      <c r="M464" t="str">
        <f t="shared" si="17"/>
        <v>În interval</v>
      </c>
    </row>
    <row r="465" spans="10:13">
      <c r="J465">
        <v>479</v>
      </c>
      <c r="K465">
        <v>1866.99</v>
      </c>
      <c r="L465" t="s">
        <v>357</v>
      </c>
      <c r="M465" t="str">
        <f t="shared" si="17"/>
        <v>În interval</v>
      </c>
    </row>
    <row r="466" spans="10:13">
      <c r="J466">
        <v>480</v>
      </c>
      <c r="K466">
        <v>4988.33</v>
      </c>
      <c r="L466" t="s">
        <v>357</v>
      </c>
      <c r="M466" t="str">
        <f t="shared" si="17"/>
        <v>În interval</v>
      </c>
    </row>
    <row r="467" spans="10:13">
      <c r="J467">
        <v>481</v>
      </c>
      <c r="K467">
        <v>1176.3699999999999</v>
      </c>
      <c r="L467" t="s">
        <v>356</v>
      </c>
      <c r="M467" t="str">
        <f t="shared" si="17"/>
        <v>În interval</v>
      </c>
    </row>
    <row r="468" spans="10:13">
      <c r="J468">
        <v>482</v>
      </c>
      <c r="K468">
        <v>1515.5</v>
      </c>
      <c r="L468" t="s">
        <v>358</v>
      </c>
      <c r="M468" t="str">
        <f t="shared" si="17"/>
        <v>În interval</v>
      </c>
    </row>
    <row r="469" spans="10:13">
      <c r="J469">
        <v>483</v>
      </c>
      <c r="K469">
        <v>2324.06</v>
      </c>
      <c r="L469" t="s">
        <v>357</v>
      </c>
      <c r="M469" t="str">
        <f t="shared" si="17"/>
        <v>În interval</v>
      </c>
    </row>
    <row r="470" spans="10:13">
      <c r="J470">
        <v>484</v>
      </c>
      <c r="K470">
        <v>4575.75</v>
      </c>
      <c r="L470" t="s">
        <v>358</v>
      </c>
      <c r="M470" t="str">
        <f t="shared" si="17"/>
        <v>În interval</v>
      </c>
    </row>
    <row r="471" spans="10:13">
      <c r="J471">
        <v>485</v>
      </c>
      <c r="K471">
        <v>3045.22</v>
      </c>
      <c r="L471" t="s">
        <v>356</v>
      </c>
      <c r="M471" t="str">
        <f t="shared" si="17"/>
        <v>În interval</v>
      </c>
    </row>
    <row r="472" spans="10:13">
      <c r="J472">
        <v>486</v>
      </c>
      <c r="K472">
        <v>4528.76</v>
      </c>
      <c r="L472" t="s">
        <v>358</v>
      </c>
      <c r="M472" t="str">
        <f t="shared" si="17"/>
        <v>În interval</v>
      </c>
    </row>
    <row r="473" spans="10:13">
      <c r="J473">
        <v>487</v>
      </c>
      <c r="K473">
        <v>958.39</v>
      </c>
      <c r="L473" t="s">
        <v>357</v>
      </c>
      <c r="M473" t="str">
        <f t="shared" si="17"/>
        <v>În interval</v>
      </c>
    </row>
    <row r="474" spans="10:13">
      <c r="J474">
        <v>488</v>
      </c>
      <c r="K474">
        <v>4647.49</v>
      </c>
      <c r="L474" t="s">
        <v>356</v>
      </c>
      <c r="M474" t="str">
        <f t="shared" si="17"/>
        <v>În interval</v>
      </c>
    </row>
    <row r="475" spans="10:13">
      <c r="J475">
        <v>489</v>
      </c>
      <c r="K475">
        <v>687.54</v>
      </c>
      <c r="L475" t="s">
        <v>356</v>
      </c>
      <c r="M475" t="str">
        <f t="shared" si="17"/>
        <v>În interval</v>
      </c>
    </row>
    <row r="476" spans="10:13">
      <c r="J476">
        <v>490</v>
      </c>
      <c r="K476">
        <v>3732.99</v>
      </c>
      <c r="L476" t="s">
        <v>356</v>
      </c>
      <c r="M476" t="str">
        <f t="shared" si="17"/>
        <v>În interval</v>
      </c>
    </row>
    <row r="477" spans="10:13">
      <c r="J477">
        <v>491</v>
      </c>
      <c r="K477">
        <v>3741.62</v>
      </c>
      <c r="L477" t="s">
        <v>356</v>
      </c>
      <c r="M477" t="str">
        <f t="shared" si="17"/>
        <v>În interval</v>
      </c>
    </row>
    <row r="478" spans="10:13">
      <c r="J478">
        <v>492</v>
      </c>
      <c r="K478">
        <v>4285.92</v>
      </c>
      <c r="L478" t="s">
        <v>356</v>
      </c>
      <c r="M478" t="str">
        <f t="shared" si="17"/>
        <v>În interval</v>
      </c>
    </row>
    <row r="479" spans="10:13">
      <c r="J479">
        <v>493</v>
      </c>
      <c r="K479">
        <v>1010.22</v>
      </c>
      <c r="L479" t="s">
        <v>356</v>
      </c>
      <c r="M479" t="str">
        <f t="shared" si="17"/>
        <v>În interval</v>
      </c>
    </row>
    <row r="480" spans="10:13">
      <c r="J480">
        <v>494</v>
      </c>
      <c r="K480">
        <v>4686.96</v>
      </c>
      <c r="L480" t="s">
        <v>356</v>
      </c>
      <c r="M480" t="str">
        <f t="shared" si="17"/>
        <v>În interval</v>
      </c>
    </row>
    <row r="481" spans="10:13">
      <c r="J481">
        <v>495</v>
      </c>
      <c r="K481">
        <v>4657.17</v>
      </c>
      <c r="L481" t="s">
        <v>357</v>
      </c>
      <c r="M481" t="str">
        <f t="shared" si="17"/>
        <v>În interval</v>
      </c>
    </row>
    <row r="482" spans="10:13">
      <c r="J482">
        <v>496</v>
      </c>
      <c r="K482">
        <v>4403.3100000000004</v>
      </c>
      <c r="L482" t="s">
        <v>356</v>
      </c>
      <c r="M482" t="str">
        <f t="shared" si="17"/>
        <v>În interval</v>
      </c>
    </row>
    <row r="483" spans="10:13">
      <c r="J483">
        <v>497</v>
      </c>
      <c r="K483">
        <v>3084.39</v>
      </c>
      <c r="L483" t="s">
        <v>357</v>
      </c>
      <c r="M483" t="str">
        <f t="shared" si="17"/>
        <v>În interval</v>
      </c>
    </row>
    <row r="484" spans="10:13">
      <c r="J484">
        <v>498</v>
      </c>
      <c r="K484">
        <v>4816.25</v>
      </c>
      <c r="L484" t="s">
        <v>356</v>
      </c>
      <c r="M484" t="str">
        <f t="shared" si="17"/>
        <v>În interval</v>
      </c>
    </row>
    <row r="485" spans="10:13">
      <c r="J485">
        <v>499</v>
      </c>
      <c r="K485">
        <v>3748.47</v>
      </c>
      <c r="L485" t="s">
        <v>358</v>
      </c>
      <c r="M485" t="str">
        <f t="shared" si="17"/>
        <v>În interval</v>
      </c>
    </row>
    <row r="486" spans="10:13">
      <c r="J486">
        <v>500</v>
      </c>
      <c r="K486">
        <v>1817.19</v>
      </c>
      <c r="L486" t="s">
        <v>357</v>
      </c>
      <c r="M486" t="str">
        <f t="shared" si="17"/>
        <v>În interval</v>
      </c>
    </row>
    <row r="487" spans="10:13">
      <c r="J487">
        <v>501</v>
      </c>
      <c r="K487">
        <v>4322.25</v>
      </c>
      <c r="L487" t="s">
        <v>357</v>
      </c>
      <c r="M487" t="str">
        <f t="shared" si="17"/>
        <v>În interval</v>
      </c>
    </row>
    <row r="488" spans="10:13">
      <c r="J488">
        <v>502</v>
      </c>
      <c r="K488">
        <v>1707.06</v>
      </c>
      <c r="L488" t="s">
        <v>357</v>
      </c>
      <c r="M488" t="str">
        <f t="shared" si="17"/>
        <v>În interval</v>
      </c>
    </row>
    <row r="489" spans="10:13">
      <c r="J489">
        <v>503</v>
      </c>
      <c r="K489">
        <v>1126.48</v>
      </c>
      <c r="L489" t="s">
        <v>356</v>
      </c>
      <c r="M489" t="str">
        <f t="shared" si="17"/>
        <v>În interval</v>
      </c>
    </row>
    <row r="490" spans="10:13">
      <c r="J490">
        <v>504</v>
      </c>
      <c r="K490">
        <v>792.18</v>
      </c>
      <c r="L490" t="s">
        <v>358</v>
      </c>
      <c r="M490" t="str">
        <f t="shared" si="17"/>
        <v>În interval</v>
      </c>
    </row>
    <row r="491" spans="10:13">
      <c r="J491">
        <v>505</v>
      </c>
      <c r="K491">
        <v>3490.27</v>
      </c>
      <c r="L491" t="s">
        <v>357</v>
      </c>
      <c r="M491" t="str">
        <f t="shared" si="17"/>
        <v>În interval</v>
      </c>
    </row>
    <row r="492" spans="10:13">
      <c r="J492">
        <v>506</v>
      </c>
      <c r="K492">
        <v>2732.25</v>
      </c>
      <c r="L492" t="s">
        <v>357</v>
      </c>
      <c r="M492" t="str">
        <f t="shared" si="17"/>
        <v>În interval</v>
      </c>
    </row>
    <row r="493" spans="10:13">
      <c r="J493">
        <v>507</v>
      </c>
      <c r="K493">
        <v>4244.1499999999996</v>
      </c>
      <c r="L493" t="s">
        <v>357</v>
      </c>
      <c r="M493" t="str">
        <f t="shared" si="17"/>
        <v>În interval</v>
      </c>
    </row>
    <row r="494" spans="10:13">
      <c r="J494">
        <v>508</v>
      </c>
      <c r="K494">
        <v>1330.61</v>
      </c>
      <c r="L494" t="s">
        <v>358</v>
      </c>
      <c r="M494" t="str">
        <f t="shared" si="17"/>
        <v>În interval</v>
      </c>
    </row>
    <row r="495" spans="10:13">
      <c r="J495">
        <v>509</v>
      </c>
      <c r="K495">
        <v>3524.59</v>
      </c>
      <c r="L495" t="s">
        <v>356</v>
      </c>
      <c r="M495" t="str">
        <f t="shared" si="17"/>
        <v>În interval</v>
      </c>
    </row>
    <row r="496" spans="10:13">
      <c r="J496">
        <v>510</v>
      </c>
      <c r="K496">
        <v>393.3</v>
      </c>
      <c r="L496" t="s">
        <v>358</v>
      </c>
      <c r="M496" t="str">
        <f t="shared" si="17"/>
        <v>În interval</v>
      </c>
    </row>
    <row r="497" spans="10:13">
      <c r="J497">
        <v>511</v>
      </c>
      <c r="K497">
        <v>4268.88</v>
      </c>
      <c r="L497" t="s">
        <v>356</v>
      </c>
      <c r="M497" t="str">
        <f t="shared" si="17"/>
        <v>În interval</v>
      </c>
    </row>
    <row r="498" spans="10:13">
      <c r="J498">
        <v>512</v>
      </c>
      <c r="K498">
        <v>3086.61</v>
      </c>
      <c r="L498" t="s">
        <v>357</v>
      </c>
      <c r="M498" t="str">
        <f t="shared" si="17"/>
        <v>În interval</v>
      </c>
    </row>
    <row r="499" spans="10:13">
      <c r="J499">
        <v>513</v>
      </c>
      <c r="K499">
        <v>1269.8399999999999</v>
      </c>
      <c r="L499" t="s">
        <v>357</v>
      </c>
      <c r="M499" t="str">
        <f t="shared" si="17"/>
        <v>În interval</v>
      </c>
    </row>
    <row r="500" spans="10:13">
      <c r="J500">
        <v>514</v>
      </c>
      <c r="K500">
        <v>593.44000000000005</v>
      </c>
      <c r="L500" t="s">
        <v>358</v>
      </c>
      <c r="M500" t="str">
        <f t="shared" si="17"/>
        <v>În interval</v>
      </c>
    </row>
    <row r="501" spans="10:13">
      <c r="J501">
        <v>515</v>
      </c>
      <c r="K501">
        <v>2102.4299999999998</v>
      </c>
      <c r="L501" t="s">
        <v>356</v>
      </c>
      <c r="M501" t="str">
        <f t="shared" si="17"/>
        <v>În interval</v>
      </c>
    </row>
    <row r="502" spans="10:13">
      <c r="J502">
        <v>516</v>
      </c>
      <c r="K502">
        <v>1413.05</v>
      </c>
      <c r="L502" t="s">
        <v>357</v>
      </c>
      <c r="M502" t="str">
        <f t="shared" si="17"/>
        <v>În interval</v>
      </c>
    </row>
    <row r="503" spans="10:13">
      <c r="J503">
        <v>517</v>
      </c>
      <c r="K503">
        <v>2785.78</v>
      </c>
      <c r="L503" t="s">
        <v>356</v>
      </c>
      <c r="M503" t="str">
        <f t="shared" si="17"/>
        <v>În interval</v>
      </c>
    </row>
    <row r="504" spans="10:13">
      <c r="J504">
        <v>518</v>
      </c>
      <c r="K504">
        <v>1687.83</v>
      </c>
      <c r="L504" t="s">
        <v>358</v>
      </c>
      <c r="M504" t="str">
        <f t="shared" si="17"/>
        <v>În interval</v>
      </c>
    </row>
    <row r="505" spans="10:13">
      <c r="J505">
        <v>519</v>
      </c>
      <c r="K505">
        <v>823.7</v>
      </c>
      <c r="L505" t="s">
        <v>356</v>
      </c>
      <c r="M505" t="str">
        <f t="shared" si="17"/>
        <v>În interval</v>
      </c>
    </row>
    <row r="506" spans="10:13">
      <c r="J506">
        <v>520</v>
      </c>
      <c r="K506">
        <v>64.8</v>
      </c>
      <c r="L506" t="s">
        <v>357</v>
      </c>
      <c r="M506" t="str">
        <f t="shared" si="17"/>
        <v>În interval</v>
      </c>
    </row>
    <row r="507" spans="10:13">
      <c r="J507">
        <v>521</v>
      </c>
      <c r="K507">
        <v>4338.75</v>
      </c>
      <c r="L507" t="s">
        <v>358</v>
      </c>
      <c r="M507" t="str">
        <f t="shared" si="17"/>
        <v>În interval</v>
      </c>
    </row>
    <row r="508" spans="10:13">
      <c r="J508">
        <v>522</v>
      </c>
      <c r="K508">
        <v>2994.53</v>
      </c>
      <c r="L508" t="s">
        <v>357</v>
      </c>
      <c r="M508" t="str">
        <f t="shared" si="17"/>
        <v>În interval</v>
      </c>
    </row>
    <row r="509" spans="10:13">
      <c r="J509">
        <v>523</v>
      </c>
      <c r="K509">
        <v>364.22</v>
      </c>
      <c r="L509" t="s">
        <v>358</v>
      </c>
      <c r="M509" t="str">
        <f t="shared" si="17"/>
        <v>În interval</v>
      </c>
    </row>
    <row r="510" spans="10:13">
      <c r="J510">
        <v>524</v>
      </c>
      <c r="K510">
        <v>1012.32</v>
      </c>
      <c r="L510" t="s">
        <v>356</v>
      </c>
      <c r="M510" t="str">
        <f t="shared" si="17"/>
        <v>În interval</v>
      </c>
    </row>
    <row r="511" spans="10:13">
      <c r="J511">
        <v>525</v>
      </c>
      <c r="K511">
        <v>4402.84</v>
      </c>
      <c r="L511" t="s">
        <v>357</v>
      </c>
      <c r="M511" t="str">
        <f t="shared" si="17"/>
        <v>În interval</v>
      </c>
    </row>
    <row r="512" spans="10:13">
      <c r="J512">
        <v>526</v>
      </c>
      <c r="K512">
        <v>4764.75</v>
      </c>
      <c r="L512" t="s">
        <v>358</v>
      </c>
      <c r="M512" t="str">
        <f t="shared" si="17"/>
        <v>În interval</v>
      </c>
    </row>
    <row r="513" spans="10:13">
      <c r="J513">
        <v>527</v>
      </c>
      <c r="K513">
        <v>4818.84</v>
      </c>
      <c r="L513" t="s">
        <v>358</v>
      </c>
      <c r="M513" t="str">
        <f t="shared" si="17"/>
        <v>În interval</v>
      </c>
    </row>
    <row r="514" spans="10:13">
      <c r="J514">
        <v>528</v>
      </c>
      <c r="K514">
        <v>2847.12</v>
      </c>
      <c r="L514" t="s">
        <v>357</v>
      </c>
      <c r="M514" t="str">
        <f t="shared" si="17"/>
        <v>În interval</v>
      </c>
    </row>
    <row r="515" spans="10:13">
      <c r="J515">
        <v>529</v>
      </c>
      <c r="K515">
        <v>3157.84</v>
      </c>
      <c r="L515" t="s">
        <v>358</v>
      </c>
      <c r="M515" t="str">
        <f t="shared" ref="M515:M578" si="18">IF(OR(K515&lt;$O$9,K515&gt;$O$10),"Outlier","În interval")</f>
        <v>În interval</v>
      </c>
    </row>
    <row r="516" spans="10:13">
      <c r="J516">
        <v>530</v>
      </c>
      <c r="K516">
        <v>811.21</v>
      </c>
      <c r="L516" t="s">
        <v>356</v>
      </c>
      <c r="M516" t="str">
        <f t="shared" si="18"/>
        <v>În interval</v>
      </c>
    </row>
    <row r="517" spans="10:13">
      <c r="J517">
        <v>531</v>
      </c>
      <c r="K517">
        <v>3791.51</v>
      </c>
      <c r="L517" t="s">
        <v>357</v>
      </c>
      <c r="M517" t="str">
        <f t="shared" si="18"/>
        <v>În interval</v>
      </c>
    </row>
    <row r="518" spans="10:13">
      <c r="J518">
        <v>532</v>
      </c>
      <c r="K518">
        <v>2149.54</v>
      </c>
      <c r="L518" t="s">
        <v>356</v>
      </c>
      <c r="M518" t="str">
        <f t="shared" si="18"/>
        <v>În interval</v>
      </c>
    </row>
    <row r="519" spans="10:13">
      <c r="J519">
        <v>533</v>
      </c>
      <c r="K519">
        <v>2127.73</v>
      </c>
      <c r="L519" t="s">
        <v>357</v>
      </c>
      <c r="M519" t="str">
        <f t="shared" si="18"/>
        <v>În interval</v>
      </c>
    </row>
    <row r="520" spans="10:13">
      <c r="J520">
        <v>534</v>
      </c>
      <c r="K520">
        <v>2512.9299999999998</v>
      </c>
      <c r="L520" t="s">
        <v>356</v>
      </c>
      <c r="M520" t="str">
        <f t="shared" si="18"/>
        <v>În interval</v>
      </c>
    </row>
    <row r="521" spans="10:13">
      <c r="J521">
        <v>535</v>
      </c>
      <c r="K521">
        <v>3612.6</v>
      </c>
      <c r="L521" t="s">
        <v>358</v>
      </c>
      <c r="M521" t="str">
        <f t="shared" si="18"/>
        <v>În interval</v>
      </c>
    </row>
    <row r="522" spans="10:13">
      <c r="J522">
        <v>536</v>
      </c>
      <c r="K522">
        <v>312.69</v>
      </c>
      <c r="L522" t="s">
        <v>356</v>
      </c>
      <c r="M522" t="str">
        <f t="shared" si="18"/>
        <v>În interval</v>
      </c>
    </row>
    <row r="523" spans="10:13">
      <c r="J523">
        <v>537</v>
      </c>
      <c r="K523">
        <v>2284.79</v>
      </c>
      <c r="L523" t="s">
        <v>356</v>
      </c>
      <c r="M523" t="str">
        <f t="shared" si="18"/>
        <v>În interval</v>
      </c>
    </row>
    <row r="524" spans="10:13">
      <c r="J524">
        <v>538</v>
      </c>
      <c r="K524">
        <v>1667.99</v>
      </c>
      <c r="L524" t="s">
        <v>357</v>
      </c>
      <c r="M524" t="str">
        <f t="shared" si="18"/>
        <v>În interval</v>
      </c>
    </row>
    <row r="525" spans="10:13">
      <c r="J525">
        <v>539</v>
      </c>
      <c r="K525">
        <v>1197.24</v>
      </c>
      <c r="L525" t="s">
        <v>358</v>
      </c>
      <c r="M525" t="str">
        <f t="shared" si="18"/>
        <v>În interval</v>
      </c>
    </row>
    <row r="526" spans="10:13">
      <c r="J526">
        <v>540</v>
      </c>
      <c r="K526">
        <v>1614.79</v>
      </c>
      <c r="L526" t="s">
        <v>357</v>
      </c>
      <c r="M526" t="str">
        <f t="shared" si="18"/>
        <v>În interval</v>
      </c>
    </row>
    <row r="527" spans="10:13">
      <c r="J527">
        <v>541</v>
      </c>
      <c r="K527">
        <v>3731.59</v>
      </c>
      <c r="L527" t="s">
        <v>357</v>
      </c>
      <c r="M527" t="str">
        <f t="shared" si="18"/>
        <v>În interval</v>
      </c>
    </row>
    <row r="528" spans="10:13">
      <c r="J528">
        <v>542</v>
      </c>
      <c r="K528">
        <v>3610.8</v>
      </c>
      <c r="L528" t="s">
        <v>356</v>
      </c>
      <c r="M528" t="str">
        <f t="shared" si="18"/>
        <v>În interval</v>
      </c>
    </row>
    <row r="529" spans="10:13">
      <c r="J529">
        <v>543</v>
      </c>
      <c r="K529">
        <v>2187.88</v>
      </c>
      <c r="L529" t="s">
        <v>356</v>
      </c>
      <c r="M529" t="str">
        <f t="shared" si="18"/>
        <v>În interval</v>
      </c>
    </row>
    <row r="530" spans="10:13">
      <c r="J530">
        <v>544</v>
      </c>
      <c r="K530">
        <v>3311.83</v>
      </c>
      <c r="L530" t="s">
        <v>358</v>
      </c>
      <c r="M530" t="str">
        <f t="shared" si="18"/>
        <v>În interval</v>
      </c>
    </row>
    <row r="531" spans="10:13">
      <c r="J531">
        <v>545</v>
      </c>
      <c r="K531">
        <v>4983.68</v>
      </c>
      <c r="L531" t="s">
        <v>356</v>
      </c>
      <c r="M531" t="str">
        <f t="shared" si="18"/>
        <v>În interval</v>
      </c>
    </row>
    <row r="532" spans="10:13">
      <c r="J532">
        <v>546</v>
      </c>
      <c r="K532">
        <v>4414.88</v>
      </c>
      <c r="L532" t="s">
        <v>358</v>
      </c>
      <c r="M532" t="str">
        <f t="shared" si="18"/>
        <v>În interval</v>
      </c>
    </row>
    <row r="533" spans="10:13">
      <c r="J533">
        <v>547</v>
      </c>
      <c r="K533">
        <v>2294.4899999999998</v>
      </c>
      <c r="L533" t="s">
        <v>356</v>
      </c>
      <c r="M533" t="str">
        <f t="shared" si="18"/>
        <v>În interval</v>
      </c>
    </row>
    <row r="534" spans="10:13">
      <c r="J534">
        <v>548</v>
      </c>
      <c r="K534">
        <v>1283.83</v>
      </c>
      <c r="L534" t="s">
        <v>356</v>
      </c>
      <c r="M534" t="str">
        <f t="shared" si="18"/>
        <v>În interval</v>
      </c>
    </row>
    <row r="535" spans="10:13">
      <c r="J535">
        <v>549</v>
      </c>
      <c r="K535">
        <v>1074.77</v>
      </c>
      <c r="L535" t="s">
        <v>357</v>
      </c>
      <c r="M535" t="str">
        <f t="shared" si="18"/>
        <v>În interval</v>
      </c>
    </row>
    <row r="536" spans="10:13">
      <c r="J536">
        <v>550</v>
      </c>
      <c r="K536">
        <v>2087.21</v>
      </c>
      <c r="L536" t="s">
        <v>357</v>
      </c>
      <c r="M536" t="str">
        <f t="shared" si="18"/>
        <v>În interval</v>
      </c>
    </row>
    <row r="537" spans="10:13">
      <c r="J537">
        <v>551</v>
      </c>
      <c r="K537">
        <v>4059.71</v>
      </c>
      <c r="L537" t="s">
        <v>356</v>
      </c>
      <c r="M537" t="str">
        <f t="shared" si="18"/>
        <v>În interval</v>
      </c>
    </row>
    <row r="538" spans="10:13">
      <c r="J538">
        <v>552</v>
      </c>
      <c r="K538">
        <v>3415.61</v>
      </c>
      <c r="L538" t="s">
        <v>356</v>
      </c>
      <c r="M538" t="str">
        <f t="shared" si="18"/>
        <v>În interval</v>
      </c>
    </row>
    <row r="539" spans="10:13">
      <c r="J539">
        <v>553</v>
      </c>
      <c r="K539">
        <v>1412.16</v>
      </c>
      <c r="L539" t="s">
        <v>358</v>
      </c>
      <c r="M539" t="str">
        <f t="shared" si="18"/>
        <v>În interval</v>
      </c>
    </row>
    <row r="540" spans="10:13">
      <c r="J540">
        <v>554</v>
      </c>
      <c r="K540">
        <v>1629.46</v>
      </c>
      <c r="L540" t="s">
        <v>357</v>
      </c>
      <c r="M540" t="str">
        <f t="shared" si="18"/>
        <v>În interval</v>
      </c>
    </row>
    <row r="541" spans="10:13">
      <c r="J541">
        <v>555</v>
      </c>
      <c r="K541">
        <v>96.55</v>
      </c>
      <c r="L541" t="s">
        <v>356</v>
      </c>
      <c r="M541" t="str">
        <f t="shared" si="18"/>
        <v>În interval</v>
      </c>
    </row>
    <row r="542" spans="10:13">
      <c r="J542">
        <v>556</v>
      </c>
      <c r="K542">
        <v>2109.62</v>
      </c>
      <c r="L542" t="s">
        <v>357</v>
      </c>
      <c r="M542" t="str">
        <f t="shared" si="18"/>
        <v>În interval</v>
      </c>
    </row>
    <row r="543" spans="10:13">
      <c r="J543">
        <v>557</v>
      </c>
      <c r="K543">
        <v>1620.38</v>
      </c>
      <c r="L543" t="s">
        <v>358</v>
      </c>
      <c r="M543" t="str">
        <f t="shared" si="18"/>
        <v>În interval</v>
      </c>
    </row>
    <row r="544" spans="10:13">
      <c r="J544">
        <v>558</v>
      </c>
      <c r="K544">
        <v>611.87</v>
      </c>
      <c r="L544" t="s">
        <v>357</v>
      </c>
      <c r="M544" t="str">
        <f t="shared" si="18"/>
        <v>În interval</v>
      </c>
    </row>
    <row r="545" spans="10:13">
      <c r="J545">
        <v>559</v>
      </c>
      <c r="K545">
        <v>4164.74</v>
      </c>
      <c r="L545" t="s">
        <v>358</v>
      </c>
      <c r="M545" t="str">
        <f t="shared" si="18"/>
        <v>În interval</v>
      </c>
    </row>
    <row r="546" spans="10:13">
      <c r="J546">
        <v>560</v>
      </c>
      <c r="K546">
        <v>4929.66</v>
      </c>
      <c r="L546" t="s">
        <v>358</v>
      </c>
      <c r="M546" t="str">
        <f t="shared" si="18"/>
        <v>În interval</v>
      </c>
    </row>
    <row r="547" spans="10:13">
      <c r="J547">
        <v>561</v>
      </c>
      <c r="K547">
        <v>1235.6099999999999</v>
      </c>
      <c r="L547" t="s">
        <v>357</v>
      </c>
      <c r="M547" t="str">
        <f t="shared" si="18"/>
        <v>În interval</v>
      </c>
    </row>
    <row r="548" spans="10:13">
      <c r="J548">
        <v>562</v>
      </c>
      <c r="K548">
        <v>3429.41</v>
      </c>
      <c r="L548" t="s">
        <v>358</v>
      </c>
      <c r="M548" t="str">
        <f t="shared" si="18"/>
        <v>În interval</v>
      </c>
    </row>
    <row r="549" spans="10:13">
      <c r="J549">
        <v>563</v>
      </c>
      <c r="K549">
        <v>385.47</v>
      </c>
      <c r="L549" t="s">
        <v>358</v>
      </c>
      <c r="M549" t="str">
        <f t="shared" si="18"/>
        <v>În interval</v>
      </c>
    </row>
    <row r="550" spans="10:13">
      <c r="J550">
        <v>564</v>
      </c>
      <c r="K550">
        <v>2504.8000000000002</v>
      </c>
      <c r="L550" t="s">
        <v>358</v>
      </c>
      <c r="M550" t="str">
        <f t="shared" si="18"/>
        <v>În interval</v>
      </c>
    </row>
    <row r="551" spans="10:13">
      <c r="J551">
        <v>565</v>
      </c>
      <c r="K551">
        <v>228.97</v>
      </c>
      <c r="L551" t="s">
        <v>357</v>
      </c>
      <c r="M551" t="str">
        <f t="shared" si="18"/>
        <v>În interval</v>
      </c>
    </row>
    <row r="552" spans="10:13">
      <c r="J552">
        <v>566</v>
      </c>
      <c r="K552">
        <v>1692.64</v>
      </c>
      <c r="L552" t="s">
        <v>356</v>
      </c>
      <c r="M552" t="str">
        <f t="shared" si="18"/>
        <v>În interval</v>
      </c>
    </row>
    <row r="553" spans="10:13">
      <c r="J553">
        <v>567</v>
      </c>
      <c r="K553">
        <v>554.77</v>
      </c>
      <c r="L553" t="s">
        <v>358</v>
      </c>
      <c r="M553" t="str">
        <f t="shared" si="18"/>
        <v>În interval</v>
      </c>
    </row>
    <row r="554" spans="10:13">
      <c r="J554">
        <v>568</v>
      </c>
      <c r="K554">
        <v>3790.89</v>
      </c>
      <c r="L554" t="s">
        <v>357</v>
      </c>
      <c r="M554" t="str">
        <f t="shared" si="18"/>
        <v>În interval</v>
      </c>
    </row>
    <row r="555" spans="10:13">
      <c r="J555">
        <v>569</v>
      </c>
      <c r="K555">
        <v>3378.96</v>
      </c>
      <c r="L555" t="s">
        <v>357</v>
      </c>
      <c r="M555" t="str">
        <f t="shared" si="18"/>
        <v>În interval</v>
      </c>
    </row>
    <row r="556" spans="10:13">
      <c r="J556">
        <v>570</v>
      </c>
      <c r="K556">
        <v>3799.93</v>
      </c>
      <c r="L556" t="s">
        <v>358</v>
      </c>
      <c r="M556" t="str">
        <f t="shared" si="18"/>
        <v>În interval</v>
      </c>
    </row>
    <row r="557" spans="10:13">
      <c r="J557">
        <v>571</v>
      </c>
      <c r="K557">
        <v>1833.66</v>
      </c>
      <c r="L557" t="s">
        <v>358</v>
      </c>
      <c r="M557" t="str">
        <f t="shared" si="18"/>
        <v>În interval</v>
      </c>
    </row>
    <row r="558" spans="10:13">
      <c r="J558">
        <v>572</v>
      </c>
      <c r="K558">
        <v>552.95000000000005</v>
      </c>
      <c r="L558" t="s">
        <v>358</v>
      </c>
      <c r="M558" t="str">
        <f t="shared" si="18"/>
        <v>În interval</v>
      </c>
    </row>
    <row r="559" spans="10:13">
      <c r="J559">
        <v>573</v>
      </c>
      <c r="K559">
        <v>3911.39</v>
      </c>
      <c r="L559" t="s">
        <v>357</v>
      </c>
      <c r="M559" t="str">
        <f t="shared" si="18"/>
        <v>În interval</v>
      </c>
    </row>
    <row r="560" spans="10:13">
      <c r="J560">
        <v>574</v>
      </c>
      <c r="K560">
        <v>3189.64</v>
      </c>
      <c r="L560" t="s">
        <v>357</v>
      </c>
      <c r="M560" t="str">
        <f t="shared" si="18"/>
        <v>În interval</v>
      </c>
    </row>
    <row r="561" spans="10:13">
      <c r="J561">
        <v>575</v>
      </c>
      <c r="K561">
        <v>3781.74</v>
      </c>
      <c r="L561" t="s">
        <v>356</v>
      </c>
      <c r="M561" t="str">
        <f t="shared" si="18"/>
        <v>În interval</v>
      </c>
    </row>
    <row r="562" spans="10:13">
      <c r="J562">
        <v>576</v>
      </c>
      <c r="K562">
        <v>713.54</v>
      </c>
      <c r="L562" t="s">
        <v>357</v>
      </c>
      <c r="M562" t="str">
        <f t="shared" si="18"/>
        <v>În interval</v>
      </c>
    </row>
    <row r="563" spans="10:13">
      <c r="J563">
        <v>577</v>
      </c>
      <c r="K563">
        <v>980.33</v>
      </c>
      <c r="L563" t="s">
        <v>356</v>
      </c>
      <c r="M563" t="str">
        <f t="shared" si="18"/>
        <v>În interval</v>
      </c>
    </row>
    <row r="564" spans="10:13">
      <c r="J564">
        <v>578</v>
      </c>
      <c r="K564">
        <v>1143.8699999999999</v>
      </c>
      <c r="L564" t="s">
        <v>358</v>
      </c>
      <c r="M564" t="str">
        <f t="shared" si="18"/>
        <v>În interval</v>
      </c>
    </row>
    <row r="565" spans="10:13">
      <c r="J565">
        <v>579</v>
      </c>
      <c r="K565">
        <v>2002.42</v>
      </c>
      <c r="L565" t="s">
        <v>358</v>
      </c>
      <c r="M565" t="str">
        <f t="shared" si="18"/>
        <v>În interval</v>
      </c>
    </row>
    <row r="566" spans="10:13">
      <c r="J566">
        <v>580</v>
      </c>
      <c r="K566">
        <v>3165.77</v>
      </c>
      <c r="L566" t="s">
        <v>356</v>
      </c>
      <c r="M566" t="str">
        <f t="shared" si="18"/>
        <v>În interval</v>
      </c>
    </row>
    <row r="567" spans="10:13">
      <c r="J567">
        <v>581</v>
      </c>
      <c r="K567">
        <v>2061.7399999999998</v>
      </c>
      <c r="L567" t="s">
        <v>357</v>
      </c>
      <c r="M567" t="str">
        <f t="shared" si="18"/>
        <v>În interval</v>
      </c>
    </row>
    <row r="568" spans="10:13">
      <c r="J568">
        <v>582</v>
      </c>
      <c r="K568">
        <v>2978.36</v>
      </c>
      <c r="L568" t="s">
        <v>356</v>
      </c>
      <c r="M568" t="str">
        <f t="shared" si="18"/>
        <v>În interval</v>
      </c>
    </row>
    <row r="569" spans="10:13">
      <c r="J569">
        <v>583</v>
      </c>
      <c r="K569">
        <v>2084.46</v>
      </c>
      <c r="L569" t="s">
        <v>357</v>
      </c>
      <c r="M569" t="str">
        <f t="shared" si="18"/>
        <v>În interval</v>
      </c>
    </row>
    <row r="570" spans="10:13">
      <c r="J570">
        <v>584</v>
      </c>
      <c r="K570">
        <v>1210.06</v>
      </c>
      <c r="L570" t="s">
        <v>358</v>
      </c>
      <c r="M570" t="str">
        <f t="shared" si="18"/>
        <v>În interval</v>
      </c>
    </row>
    <row r="571" spans="10:13">
      <c r="J571">
        <v>585</v>
      </c>
      <c r="K571">
        <v>1627.35</v>
      </c>
      <c r="L571" t="s">
        <v>358</v>
      </c>
      <c r="M571" t="str">
        <f t="shared" si="18"/>
        <v>În interval</v>
      </c>
    </row>
    <row r="572" spans="10:13">
      <c r="J572">
        <v>586</v>
      </c>
      <c r="K572">
        <v>2753.1</v>
      </c>
      <c r="L572" t="s">
        <v>358</v>
      </c>
      <c r="M572" t="str">
        <f t="shared" si="18"/>
        <v>În interval</v>
      </c>
    </row>
    <row r="573" spans="10:13">
      <c r="J573">
        <v>587</v>
      </c>
      <c r="K573">
        <v>3640.59</v>
      </c>
      <c r="L573" t="s">
        <v>357</v>
      </c>
      <c r="M573" t="str">
        <f t="shared" si="18"/>
        <v>În interval</v>
      </c>
    </row>
    <row r="574" spans="10:13">
      <c r="J574">
        <v>588</v>
      </c>
      <c r="K574">
        <v>247.91</v>
      </c>
      <c r="L574" t="s">
        <v>358</v>
      </c>
      <c r="M574" t="str">
        <f t="shared" si="18"/>
        <v>În interval</v>
      </c>
    </row>
    <row r="575" spans="10:13">
      <c r="J575">
        <v>589</v>
      </c>
      <c r="K575">
        <v>2047.41</v>
      </c>
      <c r="L575" t="s">
        <v>358</v>
      </c>
      <c r="M575" t="str">
        <f t="shared" si="18"/>
        <v>În interval</v>
      </c>
    </row>
    <row r="576" spans="10:13">
      <c r="J576">
        <v>590</v>
      </c>
      <c r="K576">
        <v>1429.5</v>
      </c>
      <c r="L576" t="s">
        <v>357</v>
      </c>
      <c r="M576" t="str">
        <f t="shared" si="18"/>
        <v>În interval</v>
      </c>
    </row>
    <row r="577" spans="10:13">
      <c r="J577">
        <v>591</v>
      </c>
      <c r="K577">
        <v>3518.35</v>
      </c>
      <c r="L577" t="s">
        <v>356</v>
      </c>
      <c r="M577" t="str">
        <f t="shared" si="18"/>
        <v>În interval</v>
      </c>
    </row>
    <row r="578" spans="10:13">
      <c r="J578">
        <v>592</v>
      </c>
      <c r="K578">
        <v>4723.7700000000004</v>
      </c>
      <c r="L578" t="s">
        <v>356</v>
      </c>
      <c r="M578" t="str">
        <f t="shared" si="18"/>
        <v>În interval</v>
      </c>
    </row>
    <row r="579" spans="10:13">
      <c r="J579">
        <v>593</v>
      </c>
      <c r="K579">
        <v>4955.58</v>
      </c>
      <c r="L579" t="s">
        <v>357</v>
      </c>
      <c r="M579" t="str">
        <f t="shared" ref="M579:M593" si="19">IF(OR(K579&lt;$O$9,K579&gt;$O$10),"Outlier","În interval")</f>
        <v>În interval</v>
      </c>
    </row>
    <row r="580" spans="10:13">
      <c r="J580">
        <v>594</v>
      </c>
      <c r="K580">
        <v>399.21</v>
      </c>
      <c r="L580" t="s">
        <v>358</v>
      </c>
      <c r="M580" t="str">
        <f t="shared" si="19"/>
        <v>În interval</v>
      </c>
    </row>
    <row r="581" spans="10:13">
      <c r="J581">
        <v>595</v>
      </c>
      <c r="K581">
        <v>532.9</v>
      </c>
      <c r="L581" t="s">
        <v>358</v>
      </c>
      <c r="M581" t="str">
        <f t="shared" si="19"/>
        <v>În interval</v>
      </c>
    </row>
    <row r="582" spans="10:13">
      <c r="J582">
        <v>596</v>
      </c>
      <c r="K582">
        <v>611.96</v>
      </c>
      <c r="L582" t="s">
        <v>356</v>
      </c>
      <c r="M582" t="str">
        <f t="shared" si="19"/>
        <v>În interval</v>
      </c>
    </row>
    <row r="583" spans="10:13">
      <c r="J583">
        <v>597</v>
      </c>
      <c r="K583">
        <v>1384.32</v>
      </c>
      <c r="L583" t="s">
        <v>358</v>
      </c>
      <c r="M583" t="str">
        <f t="shared" si="19"/>
        <v>În interval</v>
      </c>
    </row>
    <row r="584" spans="10:13">
      <c r="J584">
        <v>598</v>
      </c>
      <c r="K584">
        <v>1940.53</v>
      </c>
      <c r="L584" t="s">
        <v>357</v>
      </c>
      <c r="M584" t="str">
        <f t="shared" si="19"/>
        <v>În interval</v>
      </c>
    </row>
    <row r="585" spans="10:13">
      <c r="J585">
        <v>599</v>
      </c>
      <c r="K585">
        <v>771.19</v>
      </c>
      <c r="L585" t="s">
        <v>356</v>
      </c>
      <c r="M585" t="str">
        <f t="shared" si="19"/>
        <v>În interval</v>
      </c>
    </row>
    <row r="586" spans="10:13">
      <c r="J586">
        <v>600</v>
      </c>
      <c r="K586">
        <v>4785.83</v>
      </c>
      <c r="L586" t="s">
        <v>356</v>
      </c>
      <c r="M586" t="str">
        <f t="shared" si="19"/>
        <v>În interval</v>
      </c>
    </row>
    <row r="587" spans="10:13">
      <c r="J587">
        <v>601</v>
      </c>
      <c r="K587">
        <v>3593.42</v>
      </c>
      <c r="L587" t="s">
        <v>358</v>
      </c>
      <c r="M587" t="str">
        <f t="shared" si="19"/>
        <v>În interval</v>
      </c>
    </row>
    <row r="588" spans="10:13">
      <c r="J588">
        <v>602</v>
      </c>
      <c r="K588">
        <v>3099.46</v>
      </c>
      <c r="L588" t="s">
        <v>356</v>
      </c>
      <c r="M588" t="str">
        <f t="shared" si="19"/>
        <v>În interval</v>
      </c>
    </row>
    <row r="589" spans="10:13">
      <c r="J589">
        <v>603</v>
      </c>
      <c r="K589">
        <v>1757.68</v>
      </c>
      <c r="L589" t="s">
        <v>358</v>
      </c>
      <c r="M589" t="str">
        <f t="shared" si="19"/>
        <v>În interval</v>
      </c>
    </row>
    <row r="590" spans="10:13">
      <c r="J590">
        <v>604</v>
      </c>
      <c r="K590">
        <v>3981.46</v>
      </c>
      <c r="L590" t="s">
        <v>357</v>
      </c>
      <c r="M590" t="str">
        <f t="shared" si="19"/>
        <v>În interval</v>
      </c>
    </row>
    <row r="591" spans="10:13">
      <c r="J591">
        <v>605</v>
      </c>
      <c r="K591">
        <v>2994.35</v>
      </c>
      <c r="L591" t="s">
        <v>356</v>
      </c>
      <c r="M591" t="str">
        <f t="shared" si="19"/>
        <v>În interval</v>
      </c>
    </row>
    <row r="592" spans="10:13">
      <c r="J592">
        <v>606</v>
      </c>
      <c r="K592">
        <v>2622.58</v>
      </c>
      <c r="L592" t="s">
        <v>357</v>
      </c>
      <c r="M592" t="str">
        <f t="shared" si="19"/>
        <v>În interval</v>
      </c>
    </row>
    <row r="593" spans="10:13">
      <c r="J593">
        <v>607</v>
      </c>
      <c r="K593">
        <v>4787.32</v>
      </c>
      <c r="L593" t="s">
        <v>357</v>
      </c>
      <c r="M593" t="str">
        <f t="shared" si="19"/>
        <v>În interval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3:S81"/>
  <sheetViews>
    <sheetView workbookViewId="0">
      <selection activeCell="T51" sqref="T51"/>
    </sheetView>
  </sheetViews>
  <sheetFormatPr defaultRowHeight="14.4"/>
  <cols>
    <col min="2" max="2" width="12.5546875" customWidth="1"/>
    <col min="3" max="3" width="12" bestFit="1" customWidth="1"/>
    <col min="16" max="16" width="12.5546875" bestFit="1" customWidth="1"/>
    <col min="17" max="17" width="18" bestFit="1" customWidth="1"/>
    <col min="18" max="18" width="17.33203125" bestFit="1" customWidth="1"/>
    <col min="19" max="19" width="16" bestFit="1" customWidth="1"/>
  </cols>
  <sheetData>
    <row r="3" spans="2:19">
      <c r="B3" s="20" t="s">
        <v>958</v>
      </c>
      <c r="C3" t="s">
        <v>960</v>
      </c>
      <c r="Q3" s="20" t="s">
        <v>962</v>
      </c>
    </row>
    <row r="4" spans="2:19">
      <c r="B4" s="21" t="s">
        <v>348</v>
      </c>
      <c r="C4" s="22">
        <v>2126745.0799999991</v>
      </c>
      <c r="P4" s="20" t="s">
        <v>958</v>
      </c>
      <c r="Q4" t="s">
        <v>963</v>
      </c>
      <c r="R4" t="s">
        <v>964</v>
      </c>
      <c r="S4" t="s">
        <v>965</v>
      </c>
    </row>
    <row r="5" spans="2:19">
      <c r="B5" s="21" t="s">
        <v>349</v>
      </c>
      <c r="C5" s="22">
        <v>2399962.4000000008</v>
      </c>
      <c r="P5" s="21">
        <v>1</v>
      </c>
      <c r="Q5" s="22">
        <v>32875.4</v>
      </c>
      <c r="R5" s="22">
        <v>1643.77</v>
      </c>
      <c r="S5" s="22">
        <v>1</v>
      </c>
    </row>
    <row r="6" spans="2:19">
      <c r="B6" s="21" t="s">
        <v>959</v>
      </c>
      <c r="C6" s="22">
        <v>4526707.4800000004</v>
      </c>
      <c r="P6" s="21">
        <v>2</v>
      </c>
      <c r="Q6" s="22">
        <v>30066.74</v>
      </c>
      <c r="R6" s="22">
        <v>812.61</v>
      </c>
      <c r="S6" s="22">
        <v>1</v>
      </c>
    </row>
    <row r="7" spans="2:19">
      <c r="P7" s="21">
        <v>4</v>
      </c>
      <c r="Q7" s="22">
        <v>25006.42</v>
      </c>
      <c r="R7" s="22">
        <v>1496.38</v>
      </c>
      <c r="S7" s="22">
        <v>2</v>
      </c>
    </row>
    <row r="8" spans="2:19">
      <c r="P8" s="21">
        <v>6</v>
      </c>
      <c r="Q8" s="22">
        <v>20855.239999999998</v>
      </c>
      <c r="R8" s="22">
        <v>457.68</v>
      </c>
      <c r="S8" s="22">
        <v>3</v>
      </c>
    </row>
    <row r="9" spans="2:19">
      <c r="P9" s="21">
        <v>7</v>
      </c>
      <c r="Q9" s="22">
        <v>35541.910000000003</v>
      </c>
      <c r="R9" s="22">
        <v>1269.3499999999999</v>
      </c>
      <c r="S9" s="22">
        <v>1</v>
      </c>
    </row>
    <row r="10" spans="2:19">
      <c r="P10" s="21">
        <v>9</v>
      </c>
      <c r="Q10" s="22">
        <v>48347.13</v>
      </c>
      <c r="R10" s="22">
        <v>3255.08</v>
      </c>
      <c r="S10" s="22">
        <v>3</v>
      </c>
    </row>
    <row r="11" spans="2:19">
      <c r="P11" s="21">
        <v>12</v>
      </c>
      <c r="Q11" s="22">
        <v>41097.340000000004</v>
      </c>
      <c r="R11" s="22">
        <v>2557.31</v>
      </c>
      <c r="S11" s="22">
        <v>2</v>
      </c>
    </row>
    <row r="12" spans="2:19">
      <c r="P12" s="21">
        <v>13</v>
      </c>
      <c r="Q12" s="22">
        <v>48202.63</v>
      </c>
      <c r="R12" s="22">
        <v>1928.11</v>
      </c>
      <c r="S12" s="22">
        <v>1</v>
      </c>
    </row>
    <row r="13" spans="2:19">
      <c r="P13" s="21">
        <v>14</v>
      </c>
      <c r="Q13" s="22">
        <v>14580.01</v>
      </c>
      <c r="R13" s="22">
        <v>275.08999999999997</v>
      </c>
      <c r="S13" s="22">
        <v>1</v>
      </c>
    </row>
    <row r="14" spans="2:19">
      <c r="P14" s="21">
        <v>15</v>
      </c>
      <c r="Q14" s="22">
        <v>20066.259999999998</v>
      </c>
      <c r="R14" s="22">
        <v>364.84</v>
      </c>
      <c r="S14" s="22">
        <v>1</v>
      </c>
    </row>
    <row r="15" spans="2:19">
      <c r="P15" s="21">
        <v>17</v>
      </c>
      <c r="Q15" s="22">
        <v>6434.86</v>
      </c>
      <c r="R15" s="22">
        <v>321.74</v>
      </c>
      <c r="S15" s="22">
        <v>1</v>
      </c>
    </row>
    <row r="16" spans="2:19">
      <c r="P16" s="21">
        <v>18</v>
      </c>
      <c r="Q16" s="22">
        <v>23247.52</v>
      </c>
      <c r="R16" s="22">
        <v>596.09</v>
      </c>
      <c r="S16" s="22">
        <v>1</v>
      </c>
    </row>
    <row r="17" spans="2:19">
      <c r="P17" s="21">
        <v>19</v>
      </c>
      <c r="Q17" s="22">
        <v>61243.009999999995</v>
      </c>
      <c r="R17" s="22">
        <v>1651.9099999999999</v>
      </c>
      <c r="S17" s="22">
        <v>2</v>
      </c>
    </row>
    <row r="18" spans="2:19">
      <c r="P18" s="21">
        <v>20</v>
      </c>
      <c r="Q18" s="22">
        <v>59727.75</v>
      </c>
      <c r="R18" s="22">
        <v>1194.99</v>
      </c>
      <c r="S18" s="22">
        <v>2</v>
      </c>
    </row>
    <row r="19" spans="2:19">
      <c r="P19" s="21">
        <v>21</v>
      </c>
      <c r="Q19" s="22">
        <v>45881.85</v>
      </c>
      <c r="R19" s="22">
        <v>1219.1400000000001</v>
      </c>
      <c r="S19" s="22">
        <v>2</v>
      </c>
    </row>
    <row r="20" spans="2:19">
      <c r="P20" s="21">
        <v>23</v>
      </c>
      <c r="Q20" s="22">
        <v>31083.07</v>
      </c>
      <c r="R20" s="22">
        <v>1351.44</v>
      </c>
      <c r="S20" s="22">
        <v>1</v>
      </c>
    </row>
    <row r="21" spans="2:19">
      <c r="P21" s="21">
        <v>24</v>
      </c>
      <c r="Q21" s="22">
        <v>14042.69</v>
      </c>
      <c r="R21" s="22">
        <v>1003.05</v>
      </c>
      <c r="S21" s="22">
        <v>1</v>
      </c>
    </row>
    <row r="22" spans="2:19">
      <c r="P22" s="21">
        <v>25</v>
      </c>
      <c r="Q22" s="22">
        <v>29379.72</v>
      </c>
      <c r="R22" s="22">
        <v>587.59</v>
      </c>
      <c r="S22" s="22">
        <v>1</v>
      </c>
    </row>
    <row r="23" spans="2:19">
      <c r="P23" s="21">
        <v>26</v>
      </c>
      <c r="Q23" s="22">
        <v>50657.93</v>
      </c>
      <c r="R23" s="22">
        <v>1812.57</v>
      </c>
      <c r="S23" s="22">
        <v>2</v>
      </c>
    </row>
    <row r="24" spans="2:19">
      <c r="P24" s="21">
        <v>27</v>
      </c>
      <c r="Q24" s="22">
        <v>10460.450000000001</v>
      </c>
      <c r="R24" s="22">
        <v>197.37</v>
      </c>
      <c r="S24" s="22">
        <v>1</v>
      </c>
    </row>
    <row r="25" spans="2:19">
      <c r="B25" s="20" t="s">
        <v>958</v>
      </c>
      <c r="C25" t="s">
        <v>961</v>
      </c>
      <c r="P25" s="21">
        <v>28</v>
      </c>
      <c r="Q25" s="22">
        <v>54650.409999999996</v>
      </c>
      <c r="R25" s="22">
        <v>1135.4100000000001</v>
      </c>
      <c r="S25" s="22">
        <v>3</v>
      </c>
    </row>
    <row r="26" spans="2:19">
      <c r="B26" s="21" t="s">
        <v>358</v>
      </c>
      <c r="C26" s="22">
        <v>495869.41999999952</v>
      </c>
      <c r="P26" s="21">
        <v>32</v>
      </c>
      <c r="Q26" s="22">
        <v>22060.66</v>
      </c>
      <c r="R26" s="22">
        <v>1225.5899999999999</v>
      </c>
      <c r="S26" s="22">
        <v>1</v>
      </c>
    </row>
    <row r="27" spans="2:19">
      <c r="B27" s="21" t="s">
        <v>356</v>
      </c>
      <c r="C27" s="22">
        <v>483425.51000000018</v>
      </c>
      <c r="P27" s="21">
        <v>33</v>
      </c>
      <c r="Q27" s="22">
        <v>107784.69999999998</v>
      </c>
      <c r="R27" s="22">
        <v>4464.3999999999996</v>
      </c>
      <c r="S27" s="22">
        <v>3</v>
      </c>
    </row>
    <row r="28" spans="2:19">
      <c r="B28" s="21" t="s">
        <v>357</v>
      </c>
      <c r="C28" s="22">
        <v>524234.06000000041</v>
      </c>
      <c r="P28" s="21">
        <v>34</v>
      </c>
      <c r="Q28" s="22">
        <v>75431.62</v>
      </c>
      <c r="R28" s="22">
        <v>1448.79</v>
      </c>
      <c r="S28" s="22">
        <v>2</v>
      </c>
    </row>
    <row r="29" spans="2:19">
      <c r="B29" s="21" t="s">
        <v>959</v>
      </c>
      <c r="C29" s="22">
        <v>1503528.9900000002</v>
      </c>
      <c r="P29" s="21">
        <v>36</v>
      </c>
      <c r="Q29" s="22">
        <v>67945.45</v>
      </c>
      <c r="R29" s="22">
        <v>3670.13</v>
      </c>
      <c r="S29" s="22">
        <v>2</v>
      </c>
    </row>
    <row r="30" spans="2:19">
      <c r="P30" s="21">
        <v>37</v>
      </c>
      <c r="Q30" s="22">
        <v>55573.460000000006</v>
      </c>
      <c r="R30" s="22">
        <v>2628.66</v>
      </c>
      <c r="S30" s="22">
        <v>2</v>
      </c>
    </row>
    <row r="31" spans="2:19">
      <c r="P31" s="21">
        <v>39</v>
      </c>
      <c r="Q31" s="22">
        <v>74644.209999999992</v>
      </c>
      <c r="R31" s="22">
        <v>2598.23</v>
      </c>
      <c r="S31" s="22">
        <v>3</v>
      </c>
    </row>
    <row r="32" spans="2:19">
      <c r="P32" s="21">
        <v>40</v>
      </c>
      <c r="Q32" s="22">
        <v>56148.060000000005</v>
      </c>
      <c r="R32" s="22">
        <v>1971.52</v>
      </c>
      <c r="S32" s="22">
        <v>2</v>
      </c>
    </row>
    <row r="33" spans="16:19">
      <c r="P33" s="21">
        <v>41</v>
      </c>
      <c r="Q33" s="22">
        <v>8261.2199999999993</v>
      </c>
      <c r="R33" s="22">
        <v>217.4</v>
      </c>
      <c r="S33" s="22">
        <v>1</v>
      </c>
    </row>
    <row r="34" spans="16:19">
      <c r="P34" s="21">
        <v>43</v>
      </c>
      <c r="Q34" s="22">
        <v>35365.75</v>
      </c>
      <c r="R34" s="22">
        <v>609.75</v>
      </c>
      <c r="S34" s="22">
        <v>1</v>
      </c>
    </row>
    <row r="35" spans="16:19">
      <c r="P35" s="21">
        <v>44</v>
      </c>
      <c r="Q35" s="22">
        <v>48651.56</v>
      </c>
      <c r="R35" s="22">
        <v>1013.57</v>
      </c>
      <c r="S35" s="22">
        <v>1</v>
      </c>
    </row>
    <row r="36" spans="16:19">
      <c r="P36" s="21">
        <v>45</v>
      </c>
      <c r="Q36" s="22">
        <v>54505.86</v>
      </c>
      <c r="R36" s="22">
        <v>1248.1199999999999</v>
      </c>
      <c r="S36" s="22">
        <v>3</v>
      </c>
    </row>
    <row r="37" spans="16:19">
      <c r="P37" s="21">
        <v>46</v>
      </c>
      <c r="Q37" s="22">
        <v>50662.97</v>
      </c>
      <c r="R37" s="22">
        <v>1381.42</v>
      </c>
      <c r="S37" s="22">
        <v>3</v>
      </c>
    </row>
    <row r="38" spans="16:19">
      <c r="P38" s="21">
        <v>47</v>
      </c>
      <c r="Q38" s="22">
        <v>24177.809999999998</v>
      </c>
      <c r="R38" s="22">
        <v>1364.92</v>
      </c>
      <c r="S38" s="22">
        <v>2</v>
      </c>
    </row>
    <row r="39" spans="16:19">
      <c r="P39" s="21">
        <v>48</v>
      </c>
      <c r="Q39" s="22">
        <v>75332.23000000001</v>
      </c>
      <c r="R39" s="22">
        <v>3325.73</v>
      </c>
      <c r="S39" s="22">
        <v>3</v>
      </c>
    </row>
    <row r="40" spans="16:19">
      <c r="P40" s="21">
        <v>49</v>
      </c>
      <c r="Q40" s="22">
        <v>36862.26</v>
      </c>
      <c r="R40" s="22">
        <v>1412.03</v>
      </c>
      <c r="S40" s="22">
        <v>2</v>
      </c>
    </row>
    <row r="41" spans="16:19">
      <c r="P41" s="21">
        <v>51</v>
      </c>
      <c r="Q41" s="22">
        <v>23235.16</v>
      </c>
      <c r="R41" s="22">
        <v>635.53</v>
      </c>
      <c r="S41" s="22">
        <v>2</v>
      </c>
    </row>
    <row r="42" spans="16:19">
      <c r="P42" s="21">
        <v>52</v>
      </c>
      <c r="Q42" s="22">
        <v>81732.320000000007</v>
      </c>
      <c r="R42" s="22">
        <v>3435.4700000000003</v>
      </c>
      <c r="S42" s="22">
        <v>2</v>
      </c>
    </row>
    <row r="43" spans="16:19">
      <c r="P43" s="21">
        <v>54</v>
      </c>
      <c r="Q43" s="22">
        <v>63820.47</v>
      </c>
      <c r="R43" s="22">
        <v>2610.12</v>
      </c>
      <c r="S43" s="22">
        <v>2</v>
      </c>
    </row>
    <row r="44" spans="16:19">
      <c r="P44" s="21">
        <v>55</v>
      </c>
      <c r="Q44" s="22">
        <v>10604.24</v>
      </c>
      <c r="R44" s="22">
        <v>504.96</v>
      </c>
      <c r="S44" s="22">
        <v>1</v>
      </c>
    </row>
    <row r="45" spans="16:19">
      <c r="P45" s="21">
        <v>56</v>
      </c>
      <c r="Q45" s="22">
        <v>62510.47</v>
      </c>
      <c r="R45" s="22">
        <v>4055.41</v>
      </c>
      <c r="S45" s="22">
        <v>2</v>
      </c>
    </row>
    <row r="46" spans="16:19">
      <c r="P46" s="21">
        <v>57</v>
      </c>
      <c r="Q46" s="22">
        <v>87501.540000000008</v>
      </c>
      <c r="R46" s="22">
        <v>2516.3900000000003</v>
      </c>
      <c r="S46" s="22">
        <v>3</v>
      </c>
    </row>
    <row r="47" spans="16:19">
      <c r="P47" s="21">
        <v>58</v>
      </c>
      <c r="Q47" s="22">
        <v>40891.879999999997</v>
      </c>
      <c r="R47" s="22">
        <v>1239.1500000000001</v>
      </c>
      <c r="S47" s="22">
        <v>1</v>
      </c>
    </row>
    <row r="48" spans="16:19">
      <c r="P48" s="21">
        <v>59</v>
      </c>
      <c r="Q48" s="22">
        <v>86991.65</v>
      </c>
      <c r="R48" s="22">
        <v>3049.83</v>
      </c>
      <c r="S48" s="22">
        <v>3</v>
      </c>
    </row>
    <row r="49" spans="16:19">
      <c r="P49" s="21">
        <v>61</v>
      </c>
      <c r="Q49" s="22">
        <v>31030.67</v>
      </c>
      <c r="R49" s="22">
        <v>1752.36</v>
      </c>
      <c r="S49" s="22">
        <v>3</v>
      </c>
    </row>
    <row r="50" spans="16:19">
      <c r="P50" s="21">
        <v>62</v>
      </c>
      <c r="Q50" s="22">
        <v>77201.58</v>
      </c>
      <c r="R50" s="22">
        <v>1533.29</v>
      </c>
      <c r="S50" s="22">
        <v>2</v>
      </c>
    </row>
    <row r="51" spans="16:19">
      <c r="P51" s="21">
        <v>64</v>
      </c>
      <c r="Q51" s="22">
        <v>48560.350000000006</v>
      </c>
      <c r="R51" s="22">
        <v>2466.48</v>
      </c>
      <c r="S51" s="22">
        <v>2</v>
      </c>
    </row>
    <row r="52" spans="16:19">
      <c r="P52" s="21">
        <v>66</v>
      </c>
      <c r="Q52" s="22">
        <v>60099.24</v>
      </c>
      <c r="R52" s="22">
        <v>1202.08</v>
      </c>
      <c r="S52" s="22">
        <v>2</v>
      </c>
    </row>
    <row r="53" spans="16:19">
      <c r="P53" s="21">
        <v>68</v>
      </c>
      <c r="Q53" s="22">
        <v>37440.15</v>
      </c>
      <c r="R53" s="22">
        <v>764.08</v>
      </c>
      <c r="S53" s="22">
        <v>1</v>
      </c>
    </row>
    <row r="54" spans="16:19">
      <c r="P54" s="21">
        <v>69</v>
      </c>
      <c r="Q54" s="22">
        <v>12998.76</v>
      </c>
      <c r="R54" s="22">
        <v>295.43</v>
      </c>
      <c r="S54" s="22">
        <v>1</v>
      </c>
    </row>
    <row r="55" spans="16:19">
      <c r="P55" s="21">
        <v>71</v>
      </c>
      <c r="Q55" s="22">
        <v>19675.12</v>
      </c>
      <c r="R55" s="22">
        <v>562.15</v>
      </c>
      <c r="S55" s="22">
        <v>1</v>
      </c>
    </row>
    <row r="56" spans="16:19">
      <c r="P56" s="21">
        <v>72</v>
      </c>
      <c r="Q56" s="22">
        <v>62625.600000000006</v>
      </c>
      <c r="R56" s="22">
        <v>1150.8399999999999</v>
      </c>
      <c r="S56" s="22">
        <v>2</v>
      </c>
    </row>
    <row r="57" spans="16:19">
      <c r="P57" s="21">
        <v>73</v>
      </c>
      <c r="Q57" s="22">
        <v>4981.71</v>
      </c>
      <c r="R57" s="22">
        <v>237.22</v>
      </c>
      <c r="S57" s="22">
        <v>1</v>
      </c>
    </row>
    <row r="58" spans="16:19">
      <c r="P58" s="21">
        <v>74</v>
      </c>
      <c r="Q58" s="22">
        <v>37153.379999999997</v>
      </c>
      <c r="R58" s="22">
        <v>1451.38</v>
      </c>
      <c r="S58" s="22">
        <v>3</v>
      </c>
    </row>
    <row r="59" spans="16:19">
      <c r="P59" s="21">
        <v>76</v>
      </c>
      <c r="Q59" s="22">
        <v>10793.71</v>
      </c>
      <c r="R59" s="22">
        <v>513.99</v>
      </c>
      <c r="S59" s="22">
        <v>1</v>
      </c>
    </row>
    <row r="60" spans="16:19">
      <c r="P60" s="21">
        <v>77</v>
      </c>
      <c r="Q60" s="22">
        <v>12177.74</v>
      </c>
      <c r="R60" s="22">
        <v>507.41</v>
      </c>
      <c r="S60" s="22">
        <v>1</v>
      </c>
    </row>
    <row r="61" spans="16:19">
      <c r="P61" s="21">
        <v>78</v>
      </c>
      <c r="Q61" s="22">
        <v>1090.77</v>
      </c>
      <c r="R61" s="22">
        <v>29.48</v>
      </c>
      <c r="S61" s="22">
        <v>1</v>
      </c>
    </row>
    <row r="62" spans="16:19">
      <c r="P62" s="21">
        <v>79</v>
      </c>
      <c r="Q62" s="22">
        <v>26837.96</v>
      </c>
      <c r="R62" s="22">
        <v>725.35</v>
      </c>
      <c r="S62" s="22">
        <v>1</v>
      </c>
    </row>
    <row r="63" spans="16:19">
      <c r="P63" s="21">
        <v>80</v>
      </c>
      <c r="Q63" s="22">
        <v>24739.599999999999</v>
      </c>
      <c r="R63" s="22">
        <v>575.34</v>
      </c>
      <c r="S63" s="22">
        <v>1</v>
      </c>
    </row>
    <row r="64" spans="16:19">
      <c r="P64" s="21">
        <v>83</v>
      </c>
      <c r="Q64" s="22">
        <v>67084.63</v>
      </c>
      <c r="R64" s="22">
        <v>2248.39</v>
      </c>
      <c r="S64" s="22">
        <v>2</v>
      </c>
    </row>
    <row r="65" spans="16:19">
      <c r="P65" s="21">
        <v>84</v>
      </c>
      <c r="Q65" s="22">
        <v>56603.59</v>
      </c>
      <c r="R65" s="22">
        <v>1152.6500000000001</v>
      </c>
      <c r="S65" s="22">
        <v>3</v>
      </c>
    </row>
    <row r="66" spans="16:19">
      <c r="P66" s="21">
        <v>85</v>
      </c>
      <c r="Q66" s="22">
        <v>73812.639999999999</v>
      </c>
      <c r="R66" s="22">
        <v>2573.44</v>
      </c>
      <c r="S66" s="22">
        <v>2</v>
      </c>
    </row>
    <row r="67" spans="16:19">
      <c r="P67" s="21">
        <v>86</v>
      </c>
      <c r="Q67" s="22">
        <v>48928.32</v>
      </c>
      <c r="R67" s="22">
        <v>906.08</v>
      </c>
      <c r="S67" s="22">
        <v>1</v>
      </c>
    </row>
    <row r="68" spans="16:19">
      <c r="P68" s="21">
        <v>87</v>
      </c>
      <c r="Q68" s="22">
        <v>17440.47</v>
      </c>
      <c r="R68" s="22">
        <v>363.34</v>
      </c>
      <c r="S68" s="22">
        <v>1</v>
      </c>
    </row>
    <row r="69" spans="16:19">
      <c r="P69" s="21">
        <v>88</v>
      </c>
      <c r="Q69" s="22">
        <v>5654.47</v>
      </c>
      <c r="R69" s="22">
        <v>157.07</v>
      </c>
      <c r="S69" s="22">
        <v>1</v>
      </c>
    </row>
    <row r="70" spans="16:19">
      <c r="P70" s="21">
        <v>89</v>
      </c>
      <c r="Q70" s="22">
        <v>89746.09</v>
      </c>
      <c r="R70" s="22">
        <v>2924.38</v>
      </c>
      <c r="S70" s="22">
        <v>3</v>
      </c>
    </row>
    <row r="71" spans="16:19">
      <c r="P71" s="21">
        <v>90</v>
      </c>
      <c r="Q71" s="22">
        <v>29280.03</v>
      </c>
      <c r="R71" s="22">
        <v>597.54999999999995</v>
      </c>
      <c r="S71" s="22">
        <v>1</v>
      </c>
    </row>
    <row r="72" spans="16:19">
      <c r="P72" s="21">
        <v>91</v>
      </c>
      <c r="Q72" s="22">
        <v>75354.66</v>
      </c>
      <c r="R72" s="22">
        <v>1993.01</v>
      </c>
      <c r="S72" s="22">
        <v>3</v>
      </c>
    </row>
    <row r="73" spans="16:19">
      <c r="P73" s="21">
        <v>92</v>
      </c>
      <c r="Q73" s="22">
        <v>54820.68</v>
      </c>
      <c r="R73" s="22">
        <v>1054.01</v>
      </c>
      <c r="S73" s="22">
        <v>2</v>
      </c>
    </row>
    <row r="74" spans="16:19">
      <c r="P74" s="21">
        <v>93</v>
      </c>
      <c r="Q74" s="22">
        <v>13606.48</v>
      </c>
      <c r="R74" s="22">
        <v>316.43</v>
      </c>
      <c r="S74" s="22">
        <v>1</v>
      </c>
    </row>
    <row r="75" spans="16:19">
      <c r="P75" s="21">
        <v>94</v>
      </c>
      <c r="Q75" s="22">
        <v>84840.92</v>
      </c>
      <c r="R75" s="22">
        <v>2981.54</v>
      </c>
      <c r="S75" s="22">
        <v>2</v>
      </c>
    </row>
    <row r="76" spans="16:19">
      <c r="P76" s="21">
        <v>95</v>
      </c>
      <c r="Q76" s="22">
        <v>26215.18</v>
      </c>
      <c r="R76" s="22">
        <v>557.77</v>
      </c>
      <c r="S76" s="22">
        <v>1</v>
      </c>
    </row>
    <row r="77" spans="16:19">
      <c r="P77" s="21">
        <v>96</v>
      </c>
      <c r="Q77" s="22">
        <v>82628.53</v>
      </c>
      <c r="R77" s="22">
        <v>1651.0700000000002</v>
      </c>
      <c r="S77" s="22">
        <v>3</v>
      </c>
    </row>
    <row r="78" spans="16:19">
      <c r="P78" s="21">
        <v>98</v>
      </c>
      <c r="Q78" s="22">
        <v>74738.149999999994</v>
      </c>
      <c r="R78" s="22">
        <v>4650.6400000000003</v>
      </c>
      <c r="S78" s="22">
        <v>3</v>
      </c>
    </row>
    <row r="79" spans="16:19">
      <c r="P79" s="21">
        <v>99</v>
      </c>
      <c r="Q79" s="22">
        <v>96837.66</v>
      </c>
      <c r="R79" s="22">
        <v>2806.77</v>
      </c>
      <c r="S79" s="22">
        <v>3</v>
      </c>
    </row>
    <row r="80" spans="16:19">
      <c r="P80" s="21">
        <v>100</v>
      </c>
      <c r="Q80" s="22">
        <v>113794.68000000001</v>
      </c>
      <c r="R80" s="22">
        <v>6513.2699999999995</v>
      </c>
      <c r="S80" s="22">
        <v>3</v>
      </c>
    </row>
    <row r="81" spans="16:19">
      <c r="P81" s="21" t="s">
        <v>959</v>
      </c>
      <c r="Q81" s="22">
        <v>3432937.4099999992</v>
      </c>
      <c r="R81" s="22">
        <v>118972.93</v>
      </c>
      <c r="S81" s="22">
        <v>138</v>
      </c>
    </row>
  </sheetData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zoomScale="85" zoomScaleNormal="85" workbookViewId="0">
      <selection activeCell="AB36" sqref="AB36"/>
    </sheetView>
  </sheetViews>
  <sheetFormatPr defaultRowHeight="14.4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B2:K14"/>
  <sheetViews>
    <sheetView tabSelected="1" workbookViewId="0">
      <selection activeCell="I24" sqref="I24"/>
    </sheetView>
  </sheetViews>
  <sheetFormatPr defaultRowHeight="14.4"/>
  <cols>
    <col min="2" max="2" width="10.109375" customWidth="1"/>
    <col min="3" max="3" width="10.88671875" customWidth="1"/>
    <col min="4" max="4" width="19.21875" customWidth="1"/>
    <col min="5" max="5" width="17.77734375" customWidth="1"/>
    <col min="9" max="9" width="10.109375" customWidth="1"/>
    <col min="10" max="10" width="18.21875" customWidth="1"/>
  </cols>
  <sheetData>
    <row r="2" spans="2:11">
      <c r="B2" t="s">
        <v>966</v>
      </c>
    </row>
    <row r="4" spans="2:11">
      <c r="B4" t="s">
        <v>967</v>
      </c>
    </row>
    <row r="6" spans="2:11">
      <c r="B6" t="s">
        <v>968</v>
      </c>
    </row>
    <row r="9" spans="2:11">
      <c r="B9" s="23" t="s">
        <v>969</v>
      </c>
      <c r="C9" s="23" t="s">
        <v>970</v>
      </c>
      <c r="D9" s="23" t="s">
        <v>971</v>
      </c>
      <c r="E9" s="23" t="s">
        <v>972</v>
      </c>
      <c r="I9" s="23" t="s">
        <v>969</v>
      </c>
      <c r="J9" s="23" t="s">
        <v>982</v>
      </c>
      <c r="K9" s="23" t="s">
        <v>983</v>
      </c>
    </row>
    <row r="10" spans="2:11">
      <c r="B10" s="24" t="s">
        <v>973</v>
      </c>
      <c r="C10" s="24" t="s">
        <v>974</v>
      </c>
      <c r="D10" s="24" t="s">
        <v>975</v>
      </c>
      <c r="E10" s="24">
        <v>118.973</v>
      </c>
      <c r="I10" s="24" t="s">
        <v>976</v>
      </c>
      <c r="J10" s="24">
        <v>1</v>
      </c>
      <c r="K10" s="24">
        <v>1</v>
      </c>
    </row>
    <row r="11" spans="2:11">
      <c r="B11" s="24" t="s">
        <v>976</v>
      </c>
      <c r="C11" s="24" t="s">
        <v>977</v>
      </c>
      <c r="D11" s="24" t="s">
        <v>975</v>
      </c>
      <c r="E11" s="24">
        <v>118.973</v>
      </c>
      <c r="I11" s="24" t="s">
        <v>973</v>
      </c>
      <c r="J11" s="24">
        <v>0.56299999999999994</v>
      </c>
      <c r="K11" s="24">
        <v>2</v>
      </c>
    </row>
    <row r="12" spans="2:11">
      <c r="B12" s="24" t="s">
        <v>978</v>
      </c>
      <c r="C12" s="24" t="s">
        <v>979</v>
      </c>
      <c r="D12" s="24" t="s">
        <v>980</v>
      </c>
      <c r="E12" s="24">
        <v>130.87</v>
      </c>
      <c r="I12" s="24" t="s">
        <v>978</v>
      </c>
      <c r="J12" s="24">
        <v>0</v>
      </c>
      <c r="K12" s="24">
        <v>3</v>
      </c>
    </row>
    <row r="14" spans="2:11">
      <c r="B14" s="25" t="s">
        <v>981</v>
      </c>
      <c r="C14" s="25"/>
      <c r="I14" s="5" t="s">
        <v>984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Clienti</vt:lpstr>
      <vt:lpstr>Conturi</vt:lpstr>
      <vt:lpstr>Tranzactii</vt:lpstr>
      <vt:lpstr>Carduri</vt:lpstr>
      <vt:lpstr>Credite</vt:lpstr>
      <vt:lpstr>Analiză descriptivă</vt:lpstr>
      <vt:lpstr>PivotTable</vt:lpstr>
      <vt:lpstr>DashBoard</vt:lpstr>
      <vt:lpstr>TOPSIS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2026-01-03T18:55:26Z</dcterms:created>
  <dcterms:modified xsi:type="dcterms:W3CDTF">2026-01-04T14:39:29Z</dcterms:modified>
</cp:coreProperties>
</file>